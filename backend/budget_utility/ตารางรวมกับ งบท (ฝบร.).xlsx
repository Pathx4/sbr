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82CDE0-11F9-4E9D-845E-F455B21D18C1}" xr6:coauthVersionLast="47" xr6:coauthVersionMax="47" xr10:uidLastSave="{00000000-0000-0000-0000-000000000000}"/>
  <bookViews>
    <workbookView xWindow="28680" yWindow="-120" windowWidth="29040" windowHeight="15840" xr2:uid="{3A57B86E-5BA3-4676-A891-F0CF51CFE29A}"/>
  </bookViews>
  <sheets>
    <sheet name="ฝบร. (รวม งบท.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8" i="1"/>
  <c r="D17" i="1"/>
  <c r="D14" i="1"/>
  <c r="D15" i="1"/>
  <c r="D12" i="1"/>
  <c r="D11" i="1"/>
  <c r="D10" i="1"/>
  <c r="D7" i="1"/>
  <c r="D6" i="1"/>
  <c r="D5" i="1"/>
  <c r="D4" i="1"/>
  <c r="D3" i="1"/>
  <c r="D19" i="1" l="1"/>
</calcChain>
</file>

<file path=xl/sharedStrings.xml><?xml version="1.0" encoding="utf-8"?>
<sst xmlns="http://schemas.openxmlformats.org/spreadsheetml/2006/main" count="35" uniqueCount="34">
  <si>
    <t xml:space="preserve"> เบี้ยเลี้ยง ที่พัก / ค่ารับรองพิธีการ / ค่าตอบแทน</t>
  </si>
  <si>
    <t>ลำดับที่</t>
  </si>
  <si>
    <t>รายการ</t>
  </si>
  <si>
    <t xml:space="preserve">รายละเอียด </t>
  </si>
  <si>
    <t>รวม</t>
  </si>
  <si>
    <t>ค่าเบี้ยเลี้ยง ผู้บริหารระดับรอง</t>
  </si>
  <si>
    <t>ค่าเบี้ยเลี้ยง ผู้บริหาร ผอ.</t>
  </si>
  <si>
    <t>ค่าเบี้ยเลี้ยง จนท.</t>
  </si>
  <si>
    <t>ค่าที่พัก ผู้บริหาร</t>
  </si>
  <si>
    <t>ค่าที่พัก จนท.</t>
  </si>
  <si>
    <t>ค่ายานพาหนะและน้ำมันเชื้อเพลิง</t>
  </si>
  <si>
    <t>ค่าทางด่วน</t>
  </si>
  <si>
    <t>ค่ารับรองและพิธีการ</t>
  </si>
  <si>
    <t>ค่าตอบแทนปฏิบัติงานนอกเวลาราชการ</t>
  </si>
  <si>
    <t>8.1. ค่าอาหารว่างและเครื่องดื่ม</t>
  </si>
  <si>
    <t>6.1. ค่ารถตู้เช่า</t>
  </si>
  <si>
    <t>6.2. ค่าตั๋วโดยสารเครื่องบิน</t>
  </si>
  <si>
    <t>6.3. ค่าน้ำมันเชื้อเพลิง</t>
  </si>
  <si>
    <t>8.2. ค่าอาหาร</t>
  </si>
  <si>
    <t xml:space="preserve">9.2. วันเสาร์-อาทิตย์ </t>
  </si>
  <si>
    <t xml:space="preserve">9.1. วันธรรมดา 3 ชม. </t>
  </si>
  <si>
    <t>180 บาท * 2 คน * 5 วัน * 2 เดือน</t>
  </si>
  <si>
    <t>500 บาท * 2 คน * 2 วัน * 2 เดือน</t>
  </si>
  <si>
    <t>1,500 บาท * 3 ห้อง * 1 คืน</t>
  </si>
  <si>
    <t>1,000 บาท * 1 คัน</t>
  </si>
  <si>
    <t>500 บาท * 1 คัน</t>
  </si>
  <si>
    <t>250 บาท * 10 คน * 1 มื้อ</t>
  </si>
  <si>
    <t>50 บาท * 10 คน * 2 มื้อ</t>
  </si>
  <si>
    <t>800 บาท * 1 คน * 1 วัน</t>
  </si>
  <si>
    <t>600 บาท * 1 คน *1 วัน</t>
  </si>
  <si>
    <t>400 บาท * 6 คน * 1 วัน</t>
  </si>
  <si>
    <t>2,200 บาท * 2 ห้อง * 1 คืน</t>
  </si>
  <si>
    <t>3,500 บาท * 2 คน</t>
  </si>
  <si>
    <t>2,300 บาท * 1 คัน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</si>
</sst>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0"/>
      <color rgb="FF000000"/>
      <name val="Calibri"/>
      <family val="2"/>
      <scheme val="minor"/>
    </font>
    <font>
      <sz val="10"/>
      <color theme="1"/>
      <name val="TH SarabunPSK"/>
      <family val="2"/>
    </font>
    <font>
      <sz val="11"/>
      <color theme="1"/>
      <name val="Calibri"/>
      <family val="2"/>
      <charset val="222"/>
      <scheme val="minor"/>
    </font>
    <font>
      <b/>
      <sz val="16"/>
      <color rgb="FF000000"/>
      <name val="TH Sarabun New"/>
      <family val="2"/>
    </font>
    <font>
      <sz val="16"/>
      <color rgb="FF000000"/>
      <name val="TH Sarabun New"/>
      <family val="2"/>
    </font>
    <font>
      <sz val="16"/>
      <name val="TH Sarabun New"/>
      <family val="2"/>
    </font>
    <font>
      <b/>
      <sz val="16"/>
      <color theme="1"/>
      <name val="TH Sarabun New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0" xfId="1" applyFont="1"/>
    <xf numFmtId="0" fontId="4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vertical="top"/>
    </xf>
    <xf numFmtId="0" fontId="5" fillId="0" borderId="1" xfId="1" applyFont="1" applyBorder="1" applyAlignment="1">
      <alignment horizontal="left" vertical="top"/>
    </xf>
    <xf numFmtId="0" fontId="7" fillId="2" borderId="5" xfId="1" applyFont="1" applyFill="1" applyBorder="1" applyAlignment="1">
      <alignment horizontal="right" vertical="top"/>
    </xf>
    <xf numFmtId="0" fontId="4" fillId="0" borderId="2" xfId="1" applyFont="1" applyBorder="1" applyAlignment="1">
      <alignment horizontal="center" vertical="top"/>
    </xf>
    <xf numFmtId="0" fontId="4" fillId="0" borderId="6" xfId="1" applyFont="1" applyBorder="1" applyAlignment="1">
      <alignment horizontal="center" vertical="top"/>
    </xf>
    <xf numFmtId="0" fontId="6" fillId="0" borderId="5" xfId="1" applyFont="1" applyBorder="1" applyAlignment="1">
      <alignment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center" vertical="top"/>
    </xf>
    <xf numFmtId="0" fontId="4" fillId="0" borderId="4" xfId="1" applyFont="1" applyBorder="1" applyAlignment="1">
      <alignment horizontal="center" vertical="top" wrapText="1"/>
    </xf>
    <xf numFmtId="0" fontId="4" fillId="0" borderId="0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center" vertical="top" wrapText="1"/>
    </xf>
    <xf numFmtId="0" fontId="5" fillId="0" borderId="5" xfId="1" applyFont="1" applyBorder="1" applyAlignment="1">
      <alignment vertical="top"/>
    </xf>
    <xf numFmtId="0" fontId="4" fillId="0" borderId="5" xfId="1" applyFont="1" applyBorder="1" applyAlignment="1">
      <alignment horizontal="left" vertical="top"/>
    </xf>
    <xf numFmtId="0" fontId="5" fillId="0" borderId="11" xfId="1" applyFont="1" applyBorder="1" applyAlignment="1">
      <alignment horizontal="left" vertical="top"/>
    </xf>
    <xf numFmtId="0" fontId="5" fillId="0" borderId="12" xfId="1" applyFont="1" applyBorder="1" applyAlignment="1">
      <alignment horizontal="left" vertical="top"/>
    </xf>
    <xf numFmtId="43" fontId="5" fillId="0" borderId="1" xfId="2" applyFont="1" applyBorder="1" applyAlignment="1">
      <alignment horizontal="right" vertical="top"/>
    </xf>
    <xf numFmtId="43" fontId="5" fillId="0" borderId="2" xfId="2" applyFont="1" applyBorder="1" applyAlignment="1">
      <alignment horizontal="right" vertical="top"/>
    </xf>
    <xf numFmtId="43" fontId="5" fillId="0" borderId="5" xfId="2" applyFont="1" applyBorder="1" applyAlignment="1">
      <alignment horizontal="right" vertical="top" wrapText="1"/>
    </xf>
    <xf numFmtId="43" fontId="6" fillId="0" borderId="5" xfId="2" applyFont="1" applyBorder="1" applyAlignment="1">
      <alignment horizontal="right" vertical="top"/>
    </xf>
    <xf numFmtId="43" fontId="5" fillId="0" borderId="8" xfId="2" applyFont="1" applyBorder="1" applyAlignment="1">
      <alignment horizontal="right" vertical="top"/>
    </xf>
    <xf numFmtId="43" fontId="7" fillId="2" borderId="5" xfId="2" applyFont="1" applyFill="1" applyBorder="1" applyAlignment="1">
      <alignment horizontal="right" vertical="top"/>
    </xf>
    <xf numFmtId="0" fontId="4" fillId="0" borderId="8" xfId="1" applyFont="1" applyBorder="1" applyAlignment="1">
      <alignment horizontal="center" vertical="top"/>
    </xf>
    <xf numFmtId="0" fontId="4" fillId="0" borderId="9" xfId="1" applyFont="1" applyBorder="1" applyAlignment="1">
      <alignment horizontal="center" vertical="top"/>
    </xf>
    <xf numFmtId="0" fontId="4" fillId="0" borderId="10" xfId="1" applyFont="1" applyBorder="1" applyAlignment="1">
      <alignment horizontal="center" vertical="top"/>
    </xf>
  </cellXfs>
  <cellStyles count="3">
    <cellStyle name="Comma" xfId="2" builtinId="3"/>
    <cellStyle name="Normal" xfId="0" builtinId="0"/>
    <cellStyle name="Normal 2" xfId="1" xr:uid="{095C1FEE-4684-40A3-A7F4-A5371FF92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EE02-9164-4AA5-9E72-AE0D6B70B52B}">
  <sheetPr>
    <outlinePr summaryBelow="0" summaryRight="0"/>
  </sheetPr>
  <dimension ref="A1:D22"/>
  <sheetViews>
    <sheetView tabSelected="1" zoomScale="110" zoomScaleNormal="110" workbookViewId="0">
      <selection activeCell="E12" sqref="E12"/>
    </sheetView>
  </sheetViews>
  <sheetFormatPr defaultColWidth="11" defaultRowHeight="13.8"/>
  <cols>
    <col min="1" max="1" width="7.77734375" style="1" bestFit="1" customWidth="1"/>
    <col min="2" max="2" width="38.109375" style="1" bestFit="1" customWidth="1"/>
    <col min="3" max="3" width="30" style="1" bestFit="1" customWidth="1"/>
    <col min="4" max="4" width="14.33203125" style="1" customWidth="1"/>
    <col min="5" max="16384" width="11" style="1"/>
  </cols>
  <sheetData>
    <row r="1" spans="1:4" ht="24.6">
      <c r="A1" s="3" t="s">
        <v>0</v>
      </c>
      <c r="B1" s="4"/>
      <c r="C1" s="4"/>
      <c r="D1" s="4"/>
    </row>
    <row r="2" spans="1:4" ht="24.6">
      <c r="A2" s="6" t="s">
        <v>1</v>
      </c>
      <c r="B2" s="6" t="s">
        <v>2</v>
      </c>
      <c r="C2" s="6" t="s">
        <v>3</v>
      </c>
      <c r="D2" s="6" t="s">
        <v>4</v>
      </c>
    </row>
    <row r="3" spans="1:4" ht="24.6">
      <c r="A3" s="6">
        <v>1</v>
      </c>
      <c r="B3" s="5" t="s">
        <v>5</v>
      </c>
      <c r="C3" s="8" t="s">
        <v>28</v>
      </c>
      <c r="D3" s="22">
        <f>800*1*1</f>
        <v>800</v>
      </c>
    </row>
    <row r="4" spans="1:4" ht="24.6">
      <c r="A4" s="6">
        <v>2</v>
      </c>
      <c r="B4" s="5" t="s">
        <v>6</v>
      </c>
      <c r="C4" s="8" t="s">
        <v>29</v>
      </c>
      <c r="D4" s="22">
        <f>600*1*1</f>
        <v>600</v>
      </c>
    </row>
    <row r="5" spans="1:4" ht="24.6">
      <c r="A5" s="6">
        <v>3</v>
      </c>
      <c r="B5" s="5" t="s">
        <v>7</v>
      </c>
      <c r="C5" s="8" t="s">
        <v>30</v>
      </c>
      <c r="D5" s="22">
        <f>400*6*1</f>
        <v>2400</v>
      </c>
    </row>
    <row r="6" spans="1:4" ht="24.6">
      <c r="A6" s="6">
        <v>4</v>
      </c>
      <c r="B6" s="5" t="s">
        <v>8</v>
      </c>
      <c r="C6" s="8" t="s">
        <v>31</v>
      </c>
      <c r="D6" s="22">
        <f>2200*2*1</f>
        <v>4400</v>
      </c>
    </row>
    <row r="7" spans="1:4" ht="24.6">
      <c r="A7" s="6">
        <v>5</v>
      </c>
      <c r="B7" s="5" t="s">
        <v>9</v>
      </c>
      <c r="C7" s="8" t="s">
        <v>23</v>
      </c>
      <c r="D7" s="22">
        <f>1500*3*1</f>
        <v>4500</v>
      </c>
    </row>
    <row r="8" spans="1:4" ht="24.6">
      <c r="A8" s="10">
        <v>6</v>
      </c>
      <c r="B8" s="5" t="s">
        <v>10</v>
      </c>
      <c r="C8" s="7"/>
      <c r="D8" s="22"/>
    </row>
    <row r="9" spans="1:4" ht="24.6">
      <c r="A9" s="11"/>
      <c r="B9" s="8" t="s">
        <v>15</v>
      </c>
      <c r="C9" s="8" t="s">
        <v>33</v>
      </c>
      <c r="D9" s="22">
        <f>2300*1</f>
        <v>2300</v>
      </c>
    </row>
    <row r="10" spans="1:4" ht="24.6">
      <c r="A10" s="11"/>
      <c r="B10" s="8" t="s">
        <v>16</v>
      </c>
      <c r="C10" s="8" t="s">
        <v>32</v>
      </c>
      <c r="D10" s="22">
        <f>3500*2</f>
        <v>7000</v>
      </c>
    </row>
    <row r="11" spans="1:4" ht="24.6">
      <c r="A11" s="14"/>
      <c r="B11" s="8" t="s">
        <v>17</v>
      </c>
      <c r="C11" s="8" t="s">
        <v>24</v>
      </c>
      <c r="D11" s="22">
        <f>1000*1</f>
        <v>1000</v>
      </c>
    </row>
    <row r="12" spans="1:4" ht="24.6">
      <c r="A12" s="6">
        <v>7</v>
      </c>
      <c r="B12" s="5" t="s">
        <v>11</v>
      </c>
      <c r="C12" s="8" t="s">
        <v>25</v>
      </c>
      <c r="D12" s="23">
        <f>500*1</f>
        <v>500</v>
      </c>
    </row>
    <row r="13" spans="1:4" ht="24.6">
      <c r="A13" s="15">
        <v>8</v>
      </c>
      <c r="B13" s="13" t="s">
        <v>12</v>
      </c>
      <c r="C13" s="20"/>
      <c r="D13" s="24"/>
    </row>
    <row r="14" spans="1:4" ht="24.6">
      <c r="A14" s="16"/>
      <c r="B14" s="12" t="s">
        <v>14</v>
      </c>
      <c r="C14" s="21" t="s">
        <v>27</v>
      </c>
      <c r="D14" s="25">
        <f>50*10*2</f>
        <v>1000</v>
      </c>
    </row>
    <row r="15" spans="1:4" ht="24.6">
      <c r="A15" s="17"/>
      <c r="B15" s="12" t="s">
        <v>18</v>
      </c>
      <c r="C15" s="21" t="s">
        <v>26</v>
      </c>
      <c r="D15" s="25">
        <f>250*10*1</f>
        <v>2500</v>
      </c>
    </row>
    <row r="16" spans="1:4" ht="24.6">
      <c r="A16" s="28">
        <v>9</v>
      </c>
      <c r="B16" s="19" t="s">
        <v>13</v>
      </c>
      <c r="C16" s="18"/>
      <c r="D16" s="26"/>
    </row>
    <row r="17" spans="1:4" ht="24.6">
      <c r="A17" s="29"/>
      <c r="B17" s="12" t="s">
        <v>20</v>
      </c>
      <c r="C17" s="18" t="s">
        <v>21</v>
      </c>
      <c r="D17" s="25">
        <f>180*2*5*2</f>
        <v>3600</v>
      </c>
    </row>
    <row r="18" spans="1:4" ht="24.6">
      <c r="A18" s="30"/>
      <c r="B18" s="12" t="s">
        <v>19</v>
      </c>
      <c r="C18" s="18" t="s">
        <v>22</v>
      </c>
      <c r="D18" s="25">
        <f>500*2*2*2</f>
        <v>4000</v>
      </c>
    </row>
    <row r="19" spans="1:4" ht="24.6">
      <c r="A19" s="9" t="s">
        <v>4</v>
      </c>
      <c r="B19" s="9"/>
      <c r="C19" s="9"/>
      <c r="D19" s="27">
        <f>SUM(D3:D18)</f>
        <v>34600</v>
      </c>
    </row>
    <row r="20" spans="1:4" ht="15.6">
      <c r="A20" s="2"/>
      <c r="B20" s="2"/>
      <c r="C20" s="2"/>
      <c r="D20" s="2"/>
    </row>
    <row r="21" spans="1:4" ht="15.6">
      <c r="A21" s="2"/>
      <c r="B21" s="2"/>
      <c r="C21" s="2"/>
      <c r="D21" s="2"/>
    </row>
    <row r="22" spans="1:4" ht="15.6">
      <c r="A22" s="2"/>
      <c r="B22" s="2"/>
      <c r="C22" s="2"/>
      <c r="D22" s="2"/>
    </row>
  </sheetData>
  <mergeCells count="5">
    <mergeCell ref="A19:C19"/>
    <mergeCell ref="A8:A11"/>
    <mergeCell ref="A13:A15"/>
    <mergeCell ref="A16:A18"/>
    <mergeCell ref="A1:D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ฝบร. (รวม งบท.)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Wageeporn Jamvai</dc:creator>
  <cp:lastModifiedBy>Petjaraj Techakaengkaikul</cp:lastModifiedBy>
  <dcterms:created xsi:type="dcterms:W3CDTF">2025-07-29T11:31:34Z</dcterms:created>
  <dcterms:modified xsi:type="dcterms:W3CDTF">2025-07-30T03:05:00Z</dcterms:modified>
</cp:coreProperties>
</file>