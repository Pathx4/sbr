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toWord\"/>
    </mc:Choice>
  </mc:AlternateContent>
  <xr:revisionPtr revIDLastSave="0" documentId="13_ncr:1_{09309AE8-82A6-4020-B59B-1FB32662E22D}" xr6:coauthVersionLast="47" xr6:coauthVersionMax="47" xr10:uidLastSave="{00000000-0000-0000-0000-000000000000}"/>
  <bookViews>
    <workbookView xWindow="-108" yWindow="-108" windowWidth="23256" windowHeight="13896" tabRatio="565" xr2:uid="{00000000-000D-0000-FFFF-FFFF00000000}"/>
  </bookViews>
  <sheets>
    <sheet name="สรุปเบิกเงินค่าวัสดุ (ดล)" sheetId="1" r:id="rId1"/>
  </sheets>
  <definedNames>
    <definedName name="_xlnm.Print_Area" localSheetId="0">'สรุปเบิกเงินค่าวัสดุ (ดล)'!$A$1:$U$38</definedName>
    <definedName name="_xlnm.Print_Titles" localSheetId="0">'สรุปเบิกเงินค่าวัสดุ (ดล)'!$5:$5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P35" i="1"/>
  <c r="N34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P33" i="1" l="1"/>
  <c r="R33" i="1" s="1"/>
  <c r="P18" i="1"/>
  <c r="R18" i="1" s="1"/>
  <c r="P6" i="1"/>
  <c r="R6" i="1" s="1"/>
  <c r="R37" i="1" s="1"/>
  <c r="B37" i="1" s="1"/>
  <c r="R35" i="1"/>
</calcChain>
</file>

<file path=xl/sharedStrings.xml><?xml version="1.0" encoding="utf-8"?>
<sst xmlns="http://schemas.openxmlformats.org/spreadsheetml/2006/main" count="238" uniqueCount="75">
  <si>
    <t>สรุปค่าใช้จ่ายภายใน</t>
  </si>
  <si>
    <t xml:space="preserve">รายการจัดซื้อวัสดุอุปกรณ์สำหรับการดำเนินงานวิจัยและพัฒนาระบบเฝ้าระวังน้ำท่วมจากฝนตกหนักแบบเวลาจริง (Real-Time) </t>
  </si>
  <si>
    <t>ระหว่างวันที่ 4 - 10 มิถุนายน 2569 ณ สทอภ. (ศรีราชา)</t>
  </si>
  <si>
    <t>ค่าใช้จ่ายของฝ่ายพัสดุและอาคารสถานที่</t>
  </si>
  <si>
    <t>ลำดับ</t>
  </si>
  <si>
    <t>รายละเอียด</t>
  </si>
  <si>
    <t>บาท</t>
  </si>
  <si>
    <t>หมายเหตุ</t>
  </si>
  <si>
    <t>=</t>
  </si>
  <si>
    <t>ดำเนินงานวิจัยและพัฒนาระบบเฝ้าระวังน้ำท่วมจากฝนตกหนักแบบเวลาจริง (Real-Time)</t>
  </si>
  <si>
    <t>1.1</t>
  </si>
  <si>
    <t>8858658300827 ตู้กันน้ำพลาสติกฝาทึบ 4x6 LEETECH L-CA416G เทา</t>
  </si>
  <si>
    <t>(</t>
  </si>
  <si>
    <t xml:space="preserve">บาท * </t>
  </si>
  <si>
    <t>ชิ้น</t>
  </si>
  <si>
    <t>)</t>
  </si>
  <si>
    <t>1.2</t>
  </si>
  <si>
    <t>8859298510355 ท่อหด PL 1.5 /R-แดง 2ม.</t>
  </si>
  <si>
    <t>1.3</t>
  </si>
  <si>
    <t>8851899501107 กาวแท่ง TAI-FONG TG-12 12 แท่ง ใส</t>
  </si>
  <si>
    <t>1.4</t>
  </si>
  <si>
    <t>8859298510010 ท่อหด PL 1.5 /BK-ดำ 2ม.</t>
  </si>
  <si>
    <t>1.5</t>
  </si>
  <si>
    <t>2000603175967 ปืนยิงกาวร้อน 10 วัตต์ GIANT KINKONG KL-1012 เหลือง</t>
  </si>
  <si>
    <t>1.6</t>
  </si>
  <si>
    <t>0000041635216 สายรัดสายไฟ GIANT KINGKONG HT-2.5x100 4นิ้ว แพ็ค 100ชิ้น ดำ</t>
  </si>
  <si>
    <t>1.7</t>
  </si>
  <si>
    <t>8855890024924 ท่อตรงยูพีวีซี 25มม. 2.90M. EAGLE EG25 ขาว</t>
  </si>
  <si>
    <t>1.8</t>
  </si>
  <si>
    <t>2000603173666 หัวแร้งบัดกรีด้ามปืน 20W/120W LUZINO TQ-85 ส้ม</t>
  </si>
  <si>
    <t>1.9</t>
  </si>
  <si>
    <t>2000603173741 ตะกั่ว 16 กรัม LUZINO SW-16G</t>
  </si>
  <si>
    <t>1.10</t>
  </si>
  <si>
    <t>1.11</t>
  </si>
  <si>
    <t>8859298504132 เคเบิลแกลนด์ PL PG9-ดำ</t>
  </si>
  <si>
    <t>2.1</t>
  </si>
  <si>
    <t>[P0002] XL6009 DC-to-DC Step up Converter Module 3-32V to 5-40V 4A</t>
  </si>
  <si>
    <t>2.2</t>
  </si>
  <si>
    <t>[M0103] Waterproof Ultrasonic Module เซ็นเซอร์วัดระยะทาง อัลตร้าโซนิค กันน้ำ แบบมีสาย (JSN-SR04T)</t>
  </si>
  <si>
    <t>2.3</t>
  </si>
  <si>
    <t>2.4</t>
  </si>
  <si>
    <t>2.5</t>
  </si>
  <si>
    <t>2.6</t>
  </si>
  <si>
    <t>[P0420] Solar Cell โซลาร์เซลล์ 6V 6W 1A 180*270mm พร้อมขาตั้ง</t>
  </si>
  <si>
    <t>2.7</t>
  </si>
  <si>
    <t>[M1688] โมดูล 4G LTE SIM7600A-H Development Board รองรับ CAT4 พร้อม GPS และ Voice (Global Version)</t>
  </si>
  <si>
    <t>2.8</t>
  </si>
  <si>
    <t>ชุด</t>
  </si>
  <si>
    <t>2.9</t>
  </si>
  <si>
    <t>[A0325] 22AWG สายไฟอ่อน สีแดง ใส้เต็ม 1เมตร</t>
  </si>
  <si>
    <t>เมตร</t>
  </si>
  <si>
    <t>2.10</t>
  </si>
  <si>
    <t>[A0327] 22AWG สายไฟอ่อน สีดำ ใส้เต็ม 1เมตร</t>
  </si>
  <si>
    <t>2.11</t>
  </si>
  <si>
    <t>[A0484] 18AWGสายไฟอ่อน สีแดง ใส้เต็ม 10เมตร</t>
  </si>
  <si>
    <t>2.12</t>
  </si>
  <si>
    <t>[A0483] 18AWGสายไฟอ่อน สีดำ ใส้เต็ม 10เมตร</t>
  </si>
  <si>
    <t>2.13</t>
  </si>
  <si>
    <t>[M0204] Camera Module (OV7670)</t>
  </si>
  <si>
    <t>2.14</t>
  </si>
  <si>
    <t>[M1537] ESP32 NodeMCU ESP-WROOM-32 Wi-Fi and Bluetooth Module Dual Core Consumption 30P CP2102 USB Type-C</t>
  </si>
  <si>
    <t>3.1</t>
  </si>
  <si>
    <t>4.1</t>
  </si>
  <si>
    <t>6942629230960 กล่องใส่ของ TACTIX 8ช่อง</t>
  </si>
  <si>
    <t>รวม</t>
  </si>
  <si>
    <t>บริษัท ซีอาร์ซี ไทวัสดุ จำกัด (สาขาศรีราชา)</t>
  </si>
  <si>
    <t>บริษัท เอส. สมาร์ทเทค ซิสเต็ม จำกัด (สำนักงานใหญ่)</t>
  </si>
  <si>
    <t>บริษัท ซีพี แอ็กซ์ตร้า จำกัด (มหาชน) (สาขาที่ 00597)</t>
  </si>
  <si>
    <t>บริษัท ฮาร์ดแวร์เฮาส์ คอร์ปอเรชั่น จำกัด (สาขาแหลมฉบัง)  (สาชาที่ 00009)</t>
  </si>
  <si>
    <t>[P0164] โมดูลชาร์จถ่าน ป้องกันแบตเตอรี่ลิเธียม    1 ก้อน 3.7V 3A lithium battery protection board 18650 1S</t>
  </si>
  <si>
    <t>[P0417] โมดูลชาร์จแบตเตอรี่ลิเธียมพลังแสงอาทิตย์ 3.7V 4.2V แปลงไฟออก 12V 2A   Mini Solar Lipo Charger Board CN3791 MPPT Lithium Battery</t>
  </si>
  <si>
    <t>[P0319] ถ่านชาร์จ lithium battery         แบตเตอรี่ลิเธียม MH1 18650 3.7V 3200mAh</t>
  </si>
  <si>
    <t>[PJ033] ชุดอุปกรณ์ DIY อิเล็กทรอนิกส์ใหม่      พร้อมบอร์ดทดลอง 830 จุด สายไฟจั๊มเปอร์ตัวต้านทาน LED สำหรับ Arduino ESP8266 ESP32และ Raspberry Pi</t>
  </si>
  <si>
    <t>6904531006996 TOSHINOปลั๊ก5ช่อง5สวิตช์       สีขาว 3ม.</t>
  </si>
  <si>
    <t>8859298504125 เคเบิลแกลนด์ PL PG7-BKดำ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</si>
</sst>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5">
    <font>
      <sz val="11"/>
      <color theme="1"/>
      <name val="Calibri"/>
      <family val="2"/>
      <charset val="222"/>
      <scheme val="minor"/>
    </font>
    <font>
      <sz val="14"/>
      <color rgb="FF000000"/>
      <name val="Cordia New"/>
      <family val="2"/>
    </font>
    <font>
      <sz val="16"/>
      <color theme="1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24"/>
      <name val="TH Sarabun New"/>
      <family val="2"/>
    </font>
    <font>
      <strike/>
      <sz val="24"/>
      <color theme="1"/>
      <name val="TH Sarabun New"/>
      <family val="2"/>
    </font>
    <font>
      <sz val="24"/>
      <color theme="1"/>
      <name val="TH Sarabun New"/>
      <family val="2"/>
    </font>
    <font>
      <b/>
      <sz val="24"/>
      <color theme="1"/>
      <name val="TH Sarabun New"/>
      <family val="2"/>
    </font>
    <font>
      <sz val="24"/>
      <color rgb="FFFF0000"/>
      <name val="TH Sarabun New"/>
      <family val="2"/>
    </font>
    <font>
      <b/>
      <sz val="24"/>
      <color rgb="FF000000"/>
      <name val="TH Sarabun New"/>
      <family val="2"/>
    </font>
    <font>
      <sz val="24"/>
      <color rgb="FF000000"/>
      <name val="TH Sarabun New"/>
      <family val="2"/>
    </font>
    <font>
      <b/>
      <sz val="28"/>
      <color theme="1"/>
      <name val="TH Sarabun New"/>
      <family val="2"/>
    </font>
    <font>
      <b/>
      <sz val="20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43" fontId="2" fillId="0" borderId="0"/>
    <xf numFmtId="0" fontId="4" fillId="0" borderId="0"/>
    <xf numFmtId="43" fontId="4" fillId="0" borderId="0"/>
    <xf numFmtId="0" fontId="3" fillId="0" borderId="0"/>
    <xf numFmtId="0" fontId="3" fillId="0" borderId="0"/>
    <xf numFmtId="43" fontId="3" fillId="0" borderId="0"/>
    <xf numFmtId="43" fontId="2" fillId="0" borderId="0"/>
    <xf numFmtId="0" fontId="2" fillId="0" borderId="0"/>
    <xf numFmtId="0" fontId="5" fillId="0" borderId="0"/>
    <xf numFmtId="43" fontId="5" fillId="0" borderId="0"/>
    <xf numFmtId="43" fontId="1" fillId="0" borderId="0"/>
    <xf numFmtId="43" fontId="3" fillId="0" borderId="0"/>
  </cellStyleXfs>
  <cellXfs count="63">
    <xf numFmtId="0" fontId="0" fillId="0" borderId="0" xfId="0"/>
    <xf numFmtId="0" fontId="7" fillId="0" borderId="0" xfId="5" applyFont="1" applyAlignment="1">
      <alignment vertical="top"/>
    </xf>
    <xf numFmtId="0" fontId="10" fillId="0" borderId="0" xfId="5" applyFont="1" applyAlignment="1">
      <alignment horizontal="center" vertical="top" wrapText="1"/>
    </xf>
    <xf numFmtId="0" fontId="12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5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2" borderId="4" xfId="0" applyFont="1" applyFill="1" applyBorder="1" applyAlignment="1">
      <alignment horizontal="center" vertical="top"/>
    </xf>
    <xf numFmtId="0" fontId="12" fillId="0" borderId="0" xfId="1" applyFont="1" applyAlignment="1">
      <alignment vertical="top"/>
    </xf>
    <xf numFmtId="0" fontId="12" fillId="0" borderId="0" xfId="1" applyFont="1" applyAlignment="1">
      <alignment horizontal="center" vertical="top"/>
    </xf>
    <xf numFmtId="0" fontId="12" fillId="0" borderId="0" xfId="1" applyFont="1" applyAlignment="1">
      <alignment vertical="top" wrapText="1"/>
    </xf>
    <xf numFmtId="164" fontId="12" fillId="0" borderId="0" xfId="1" applyNumberFormat="1" applyFont="1" applyAlignment="1">
      <alignment vertical="top"/>
    </xf>
    <xf numFmtId="165" fontId="12" fillId="0" borderId="0" xfId="2" applyNumberFormat="1" applyFont="1" applyAlignment="1">
      <alignment vertical="top"/>
    </xf>
    <xf numFmtId="2" fontId="12" fillId="0" borderId="0" xfId="1" applyNumberFormat="1" applyFont="1" applyAlignment="1">
      <alignment vertical="top"/>
    </xf>
    <xf numFmtId="164" fontId="12" fillId="0" borderId="0" xfId="2" applyNumberFormat="1" applyFont="1" applyAlignment="1">
      <alignment horizontal="left" vertical="top"/>
    </xf>
    <xf numFmtId="164" fontId="12" fillId="0" borderId="0" xfId="1" applyNumberFormat="1" applyFont="1" applyAlignment="1">
      <alignment horizontal="center" vertical="top"/>
    </xf>
    <xf numFmtId="165" fontId="12" fillId="0" borderId="0" xfId="13" applyNumberFormat="1" applyFont="1" applyAlignment="1">
      <alignment vertical="top"/>
    </xf>
    <xf numFmtId="0" fontId="8" fillId="2" borderId="0" xfId="0" applyFont="1" applyFill="1" applyAlignment="1">
      <alignment horizontal="right" vertical="top"/>
    </xf>
    <xf numFmtId="164" fontId="9" fillId="2" borderId="0" xfId="0" applyNumberFormat="1" applyFont="1" applyFill="1" applyAlignment="1">
      <alignment vertical="top"/>
    </xf>
    <xf numFmtId="0" fontId="8" fillId="2" borderId="3" xfId="0" applyFont="1" applyFill="1" applyBorder="1" applyAlignment="1">
      <alignment horizontal="left" vertical="top"/>
    </xf>
    <xf numFmtId="0" fontId="3" fillId="0" borderId="0" xfId="0" applyFont="1"/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horizontal="center" vertical="top"/>
    </xf>
    <xf numFmtId="164" fontId="9" fillId="0" borderId="0" xfId="0" applyNumberFormat="1" applyFont="1" applyAlignment="1">
      <alignment vertical="top"/>
    </xf>
    <xf numFmtId="0" fontId="8" fillId="0" borderId="3" xfId="0" applyFont="1" applyBorder="1" applyAlignment="1">
      <alignment horizontal="left" vertical="top"/>
    </xf>
    <xf numFmtId="164" fontId="9" fillId="0" borderId="2" xfId="0" applyNumberFormat="1" applyFont="1" applyBorder="1" applyAlignment="1">
      <alignment horizontal="center" vertical="top" wrapText="1"/>
    </xf>
    <xf numFmtId="164" fontId="9" fillId="0" borderId="0" xfId="0" applyNumberFormat="1" applyFont="1" applyAlignment="1">
      <alignment horizontal="center" vertical="top" wrapText="1"/>
    </xf>
    <xf numFmtId="164" fontId="9" fillId="0" borderId="3" xfId="0" applyNumberFormat="1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/>
    </xf>
    <xf numFmtId="0" fontId="13" fillId="2" borderId="13" xfId="5" applyFont="1" applyFill="1" applyBorder="1" applyAlignment="1">
      <alignment horizontal="center" vertical="top" wrapText="1"/>
    </xf>
    <xf numFmtId="0" fontId="8" fillId="3" borderId="7" xfId="5" applyFont="1" applyFill="1" applyBorder="1" applyAlignment="1">
      <alignment vertical="center"/>
    </xf>
    <xf numFmtId="0" fontId="12" fillId="0" borderId="3" xfId="1" applyFont="1" applyBorder="1" applyAlignment="1">
      <alignment horizontal="left" vertical="top"/>
    </xf>
    <xf numFmtId="0" fontId="14" fillId="2" borderId="5" xfId="5" applyFont="1" applyFill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top"/>
    </xf>
    <xf numFmtId="0" fontId="8" fillId="3" borderId="16" xfId="5" applyFont="1" applyFill="1" applyBorder="1" applyAlignment="1">
      <alignment vertical="center"/>
    </xf>
    <xf numFmtId="0" fontId="8" fillId="3" borderId="17" xfId="5" applyFont="1" applyFill="1" applyBorder="1" applyAlignment="1">
      <alignment vertical="center"/>
    </xf>
    <xf numFmtId="0" fontId="8" fillId="3" borderId="15" xfId="5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top" wrapText="1"/>
    </xf>
    <xf numFmtId="0" fontId="8" fillId="0" borderId="0" xfId="5" applyFont="1" applyAlignment="1">
      <alignment vertical="top"/>
    </xf>
    <xf numFmtId="0" fontId="8" fillId="0" borderId="14" xfId="0" applyFont="1" applyBorder="1" applyAlignment="1">
      <alignment horizontal="center" vertical="center" wrapText="1"/>
    </xf>
    <xf numFmtId="0" fontId="0" fillId="0" borderId="3" xfId="0" applyBorder="1"/>
    <xf numFmtId="0" fontId="0" fillId="0" borderId="15" xfId="0" applyBorder="1"/>
    <xf numFmtId="0" fontId="9" fillId="2" borderId="1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9" fillId="0" borderId="0" xfId="1" applyFont="1" applyAlignment="1">
      <alignment horizontal="center" vertical="top" wrapText="1"/>
    </xf>
    <xf numFmtId="0" fontId="8" fillId="0" borderId="0" xfId="0" applyFont="1" applyAlignment="1">
      <alignment vertical="top"/>
    </xf>
    <xf numFmtId="164" fontId="9" fillId="0" borderId="4" xfId="0" applyNumberFormat="1" applyFont="1" applyBorder="1" applyAlignment="1">
      <alignment horizontal="right" vertical="top" wrapText="1"/>
    </xf>
    <xf numFmtId="164" fontId="11" fillId="2" borderId="1" xfId="0" applyNumberFormat="1" applyFont="1" applyFill="1" applyBorder="1" applyAlignment="1">
      <alignment horizontal="center" vertical="top"/>
    </xf>
    <xf numFmtId="164" fontId="13" fillId="2" borderId="5" xfId="7" applyNumberFormat="1" applyFont="1" applyFill="1" applyBorder="1" applyAlignment="1">
      <alignment horizontal="center" vertical="top" wrapText="1"/>
    </xf>
    <xf numFmtId="0" fontId="0" fillId="0" borderId="8" xfId="0" applyBorder="1"/>
    <xf numFmtId="0" fontId="0" fillId="0" borderId="9" xfId="0" applyBorder="1"/>
    <xf numFmtId="0" fontId="6" fillId="0" borderId="0" xfId="5" applyFont="1" applyAlignment="1">
      <alignment horizontal="center" vertical="top"/>
    </xf>
    <xf numFmtId="0" fontId="7" fillId="0" borderId="0" xfId="5" applyFont="1" applyAlignment="1">
      <alignment vertical="top"/>
    </xf>
    <xf numFmtId="164" fontId="9" fillId="0" borderId="10" xfId="0" applyNumberFormat="1" applyFont="1" applyBorder="1" applyAlignment="1">
      <alignment horizontal="right" vertical="top" wrapText="1"/>
    </xf>
    <xf numFmtId="0" fontId="8" fillId="0" borderId="11" xfId="5" applyFont="1" applyBorder="1" applyAlignment="1">
      <alignment vertical="top"/>
    </xf>
    <xf numFmtId="0" fontId="0" fillId="0" borderId="12" xfId="0" applyBorder="1"/>
    <xf numFmtId="0" fontId="6" fillId="0" borderId="0" xfId="1" applyFont="1" applyAlignment="1">
      <alignment horizontal="center" vertical="top" wrapText="1"/>
    </xf>
    <xf numFmtId="0" fontId="13" fillId="2" borderId="5" xfId="5" applyFont="1" applyFill="1" applyBorder="1" applyAlignment="1">
      <alignment horizontal="center" vertical="top" wrapText="1"/>
    </xf>
  </cellXfs>
  <cellStyles count="14">
    <cellStyle name="Comma" xfId="13" builtinId="3"/>
    <cellStyle name="Comma 2" xfId="2" xr:uid="{00000000-0005-0000-0000-000002000000}"/>
    <cellStyle name="Comma 2 2" xfId="8" xr:uid="{00000000-0005-0000-0000-000008000000}"/>
    <cellStyle name="Comma 2 2 2" xfId="12" xr:uid="{00000000-0005-0000-0000-00000C000000}"/>
    <cellStyle name="Comma 2 2 3" xfId="7" xr:uid="{00000000-0005-0000-0000-000007000000}"/>
    <cellStyle name="Comma 4 2" xfId="4" xr:uid="{00000000-0005-0000-0000-000004000000}"/>
    <cellStyle name="Comma 5" xfId="11" xr:uid="{00000000-0005-0000-0000-00000B000000}"/>
    <cellStyle name="Normal" xfId="0" builtinId="0"/>
    <cellStyle name="Normal 2" xfId="9" xr:uid="{00000000-0005-0000-0000-000009000000}"/>
    <cellStyle name="Normal 2 2 2 2" xfId="6" xr:uid="{00000000-0005-0000-0000-000006000000}"/>
    <cellStyle name="Normal 2 4" xfId="5" xr:uid="{00000000-0005-0000-0000-000005000000}"/>
    <cellStyle name="Normal 3" xfId="1" xr:uid="{00000000-0005-0000-0000-000001000000}"/>
    <cellStyle name="Normal 6" xfId="10" xr:uid="{00000000-0005-0000-0000-00000A000000}"/>
    <cellStyle name="Normal 7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852"/>
  <sheetViews>
    <sheetView tabSelected="1" view="pageBreakPreview" topLeftCell="A20" zoomScale="55" zoomScaleNormal="60" zoomScaleSheetLayoutView="55" workbookViewId="0">
      <selection activeCell="AE21" sqref="AE21"/>
    </sheetView>
  </sheetViews>
  <sheetFormatPr defaultColWidth="12.109375" defaultRowHeight="15" customHeight="1"/>
  <cols>
    <col min="1" max="1" width="7" style="37" customWidth="1"/>
    <col min="2" max="2" width="62.33203125" style="12" customWidth="1"/>
    <col min="3" max="3" width="2.6640625" style="10" customWidth="1"/>
    <col min="4" max="4" width="3.6640625" style="13" customWidth="1"/>
    <col min="5" max="5" width="10.109375" style="18" customWidth="1"/>
    <col min="6" max="6" width="8.21875" style="10" customWidth="1"/>
    <col min="7" max="7" width="5.21875" style="14" customWidth="1"/>
    <col min="8" max="8" width="10" style="3" customWidth="1"/>
    <col min="9" max="9" width="2" style="11" customWidth="1"/>
    <col min="10" max="10" width="2.88671875" style="10" hidden="1" customWidth="1"/>
    <col min="11" max="11" width="2.77734375" style="10" hidden="1" customWidth="1"/>
    <col min="12" max="13" width="1.77734375" style="10" customWidth="1"/>
    <col min="14" max="14" width="15.88671875" style="15" customWidth="1"/>
    <col min="15" max="15" width="5.44140625" style="10" customWidth="1"/>
    <col min="16" max="16" width="17.5546875" style="16" customWidth="1"/>
    <col min="17" max="17" width="8.6640625" style="3" customWidth="1"/>
    <col min="18" max="18" width="2.33203125" style="10" customWidth="1"/>
    <col min="19" max="19" width="5.88671875" style="17" customWidth="1"/>
    <col min="20" max="20" width="8.44140625" style="35" customWidth="1"/>
    <col min="21" max="21" width="44.109375" style="12" customWidth="1"/>
    <col min="22" max="22" width="5.6640625" style="10" customWidth="1"/>
    <col min="23" max="23" width="4.77734375" style="10" customWidth="1"/>
    <col min="24" max="25" width="12.109375" style="10" customWidth="1"/>
    <col min="26" max="16384" width="12.109375" style="10"/>
  </cols>
  <sheetData>
    <row r="1" spans="1:26" s="1" customFormat="1" ht="34.950000000000003" customHeight="1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6" s="4" customFormat="1" ht="37.799999999999997" customHeight="1">
      <c r="A2" s="6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6" s="4" customFormat="1" ht="37.799999999999997" customHeight="1">
      <c r="A3" s="61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6" s="4" customFormat="1" ht="33.6" customHeight="1" thickBot="1">
      <c r="A4" s="49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6" s="2" customFormat="1" ht="74.25" customHeight="1" thickBot="1">
      <c r="A5" s="36" t="s">
        <v>4</v>
      </c>
      <c r="B5" s="62" t="s">
        <v>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  <c r="R5" s="53" t="s">
        <v>6</v>
      </c>
      <c r="S5" s="54"/>
      <c r="T5" s="55"/>
      <c r="U5" s="33" t="s">
        <v>7</v>
      </c>
    </row>
    <row r="6" spans="1:26" s="5" customFormat="1" ht="52.2" customHeight="1">
      <c r="A6" s="9">
        <v>1</v>
      </c>
      <c r="B6" s="41" t="s">
        <v>65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19" t="s">
        <v>8</v>
      </c>
      <c r="P6" s="20">
        <f>SUM(N7:N17)</f>
        <v>724</v>
      </c>
      <c r="Q6" s="21" t="s">
        <v>6</v>
      </c>
      <c r="R6" s="58">
        <f>P6</f>
        <v>724</v>
      </c>
      <c r="S6" s="59"/>
      <c r="T6" s="60"/>
      <c r="U6" s="43" t="s">
        <v>9</v>
      </c>
      <c r="V6" s="22"/>
      <c r="W6" s="22"/>
      <c r="X6" s="22"/>
      <c r="Y6" s="22"/>
      <c r="Z6" s="22"/>
    </row>
    <row r="7" spans="1:26" s="5" customFormat="1" ht="66.599999999999994" customHeight="1">
      <c r="A7" s="6" t="s">
        <v>10</v>
      </c>
      <c r="B7" s="7" t="s">
        <v>11</v>
      </c>
      <c r="C7" s="22"/>
      <c r="D7" s="23" t="s">
        <v>12</v>
      </c>
      <c r="E7" s="24">
        <v>98</v>
      </c>
      <c r="F7" s="4" t="s">
        <v>13</v>
      </c>
      <c r="G7" s="4">
        <v>1</v>
      </c>
      <c r="H7" s="8" t="s">
        <v>14</v>
      </c>
      <c r="I7" s="4" t="s">
        <v>15</v>
      </c>
      <c r="J7" s="22"/>
      <c r="K7" s="4"/>
      <c r="L7" s="4"/>
      <c r="M7" s="23" t="s">
        <v>8</v>
      </c>
      <c r="N7" s="25">
        <f t="shared" ref="N7:N17" si="0">E7*G7</f>
        <v>98</v>
      </c>
      <c r="O7" s="26" t="s">
        <v>6</v>
      </c>
      <c r="P7" s="27"/>
      <c r="Q7" s="28"/>
      <c r="R7" s="29"/>
      <c r="S7" s="30"/>
      <c r="T7" s="31"/>
      <c r="U7" s="44"/>
      <c r="V7" s="22"/>
      <c r="W7" s="22"/>
      <c r="X7" s="22"/>
      <c r="Y7" s="22"/>
      <c r="Z7" s="22"/>
    </row>
    <row r="8" spans="1:26" s="5" customFormat="1" ht="33.6" customHeight="1">
      <c r="A8" s="6" t="s">
        <v>16</v>
      </c>
      <c r="B8" s="7" t="s">
        <v>17</v>
      </c>
      <c r="C8" s="22"/>
      <c r="D8" s="23" t="s">
        <v>12</v>
      </c>
      <c r="E8" s="24">
        <v>17</v>
      </c>
      <c r="F8" s="4" t="s">
        <v>13</v>
      </c>
      <c r="G8" s="4">
        <v>1</v>
      </c>
      <c r="H8" s="8" t="s">
        <v>14</v>
      </c>
      <c r="I8" s="4" t="s">
        <v>15</v>
      </c>
      <c r="J8" s="22"/>
      <c r="K8" s="4"/>
      <c r="L8" s="4"/>
      <c r="M8" s="23" t="s">
        <v>8</v>
      </c>
      <c r="N8" s="25">
        <f t="shared" si="0"/>
        <v>17</v>
      </c>
      <c r="O8" s="26" t="s">
        <v>6</v>
      </c>
      <c r="P8" s="27"/>
      <c r="Q8" s="28"/>
      <c r="R8" s="29"/>
      <c r="S8" s="30"/>
      <c r="T8" s="31"/>
      <c r="U8" s="44"/>
      <c r="V8" s="22"/>
      <c r="W8" s="22"/>
      <c r="X8" s="22"/>
      <c r="Y8" s="22"/>
      <c r="Z8" s="22"/>
    </row>
    <row r="9" spans="1:26" s="5" customFormat="1" ht="66.599999999999994" customHeight="1">
      <c r="A9" s="6" t="s">
        <v>18</v>
      </c>
      <c r="B9" s="7" t="s">
        <v>19</v>
      </c>
      <c r="C9" s="22"/>
      <c r="D9" s="23" t="s">
        <v>12</v>
      </c>
      <c r="E9" s="24">
        <v>53</v>
      </c>
      <c r="F9" s="4" t="s">
        <v>13</v>
      </c>
      <c r="G9" s="4">
        <v>1</v>
      </c>
      <c r="H9" s="8" t="s">
        <v>14</v>
      </c>
      <c r="I9" s="4" t="s">
        <v>15</v>
      </c>
      <c r="J9" s="22"/>
      <c r="K9" s="4"/>
      <c r="L9" s="4"/>
      <c r="M9" s="23" t="s">
        <v>8</v>
      </c>
      <c r="N9" s="25">
        <f t="shared" si="0"/>
        <v>53</v>
      </c>
      <c r="O9" s="26" t="s">
        <v>6</v>
      </c>
      <c r="P9" s="27"/>
      <c r="Q9" s="28"/>
      <c r="R9" s="29"/>
      <c r="S9" s="30"/>
      <c r="T9" s="31"/>
      <c r="U9" s="44"/>
      <c r="V9" s="22"/>
      <c r="W9" s="22"/>
      <c r="X9" s="22"/>
      <c r="Y9" s="22"/>
      <c r="Z9" s="22"/>
    </row>
    <row r="10" spans="1:26" s="5" customFormat="1" ht="39.6" customHeight="1">
      <c r="A10" s="6" t="s">
        <v>20</v>
      </c>
      <c r="B10" s="7" t="s">
        <v>21</v>
      </c>
      <c r="C10" s="22"/>
      <c r="D10" s="23" t="s">
        <v>12</v>
      </c>
      <c r="E10" s="24">
        <v>17</v>
      </c>
      <c r="F10" s="4" t="s">
        <v>13</v>
      </c>
      <c r="G10" s="4">
        <v>1</v>
      </c>
      <c r="H10" s="8" t="s">
        <v>14</v>
      </c>
      <c r="I10" s="4" t="s">
        <v>15</v>
      </c>
      <c r="J10" s="22"/>
      <c r="K10" s="4"/>
      <c r="L10" s="4"/>
      <c r="M10" s="23" t="s">
        <v>8</v>
      </c>
      <c r="N10" s="25">
        <f t="shared" si="0"/>
        <v>17</v>
      </c>
      <c r="O10" s="26" t="s">
        <v>6</v>
      </c>
      <c r="P10" s="27"/>
      <c r="Q10" s="28"/>
      <c r="R10" s="29"/>
      <c r="S10" s="30"/>
      <c r="T10" s="31"/>
      <c r="U10" s="44"/>
      <c r="V10" s="22"/>
      <c r="W10" s="22"/>
      <c r="X10" s="22"/>
      <c r="Y10" s="22"/>
      <c r="Z10" s="22"/>
    </row>
    <row r="11" spans="1:26" s="5" customFormat="1" ht="66.599999999999994" customHeight="1">
      <c r="A11" s="6" t="s">
        <v>22</v>
      </c>
      <c r="B11" s="7" t="s">
        <v>23</v>
      </c>
      <c r="C11" s="22"/>
      <c r="D11" s="23" t="s">
        <v>12</v>
      </c>
      <c r="E11" s="24">
        <v>158</v>
      </c>
      <c r="F11" s="4" t="s">
        <v>13</v>
      </c>
      <c r="G11" s="4">
        <v>1</v>
      </c>
      <c r="H11" s="8" t="s">
        <v>14</v>
      </c>
      <c r="I11" s="4" t="s">
        <v>15</v>
      </c>
      <c r="J11" s="22"/>
      <c r="K11" s="4"/>
      <c r="L11" s="4"/>
      <c r="M11" s="23" t="s">
        <v>8</v>
      </c>
      <c r="N11" s="25">
        <f t="shared" si="0"/>
        <v>158</v>
      </c>
      <c r="O11" s="26" t="s">
        <v>6</v>
      </c>
      <c r="P11" s="27"/>
      <c r="Q11" s="28"/>
      <c r="R11" s="29"/>
      <c r="S11" s="30"/>
      <c r="T11" s="31"/>
      <c r="U11" s="44"/>
      <c r="V11" s="22"/>
      <c r="W11" s="22"/>
      <c r="X11" s="22"/>
      <c r="Y11" s="22"/>
      <c r="Z11" s="22"/>
    </row>
    <row r="12" spans="1:26" s="5" customFormat="1" ht="66.599999999999994" customHeight="1">
      <c r="A12" s="6" t="s">
        <v>24</v>
      </c>
      <c r="B12" s="7" t="s">
        <v>25</v>
      </c>
      <c r="C12" s="22"/>
      <c r="D12" s="23" t="s">
        <v>12</v>
      </c>
      <c r="E12" s="24">
        <v>28</v>
      </c>
      <c r="F12" s="4" t="s">
        <v>13</v>
      </c>
      <c r="G12" s="4">
        <v>1</v>
      </c>
      <c r="H12" s="8" t="s">
        <v>14</v>
      </c>
      <c r="I12" s="4" t="s">
        <v>15</v>
      </c>
      <c r="J12" s="22"/>
      <c r="K12" s="4"/>
      <c r="L12" s="4"/>
      <c r="M12" s="23" t="s">
        <v>8</v>
      </c>
      <c r="N12" s="25">
        <f t="shared" si="0"/>
        <v>28</v>
      </c>
      <c r="O12" s="26" t="s">
        <v>6</v>
      </c>
      <c r="P12" s="27"/>
      <c r="Q12" s="28"/>
      <c r="R12" s="29"/>
      <c r="S12" s="30"/>
      <c r="T12" s="31"/>
      <c r="U12" s="44"/>
      <c r="V12" s="22"/>
      <c r="W12" s="22"/>
      <c r="X12" s="22"/>
      <c r="Y12" s="22"/>
      <c r="Z12" s="22"/>
    </row>
    <row r="13" spans="1:26" s="5" customFormat="1" ht="66.599999999999994" customHeight="1">
      <c r="A13" s="6" t="s">
        <v>26</v>
      </c>
      <c r="B13" s="7" t="s">
        <v>27</v>
      </c>
      <c r="C13" s="22"/>
      <c r="D13" s="23" t="s">
        <v>12</v>
      </c>
      <c r="E13" s="24">
        <v>63</v>
      </c>
      <c r="F13" s="4" t="s">
        <v>13</v>
      </c>
      <c r="G13" s="4">
        <v>1</v>
      </c>
      <c r="H13" s="8" t="s">
        <v>14</v>
      </c>
      <c r="I13" s="4" t="s">
        <v>15</v>
      </c>
      <c r="J13" s="22"/>
      <c r="K13" s="4"/>
      <c r="L13" s="4"/>
      <c r="M13" s="23" t="s">
        <v>8</v>
      </c>
      <c r="N13" s="25">
        <f t="shared" si="0"/>
        <v>63</v>
      </c>
      <c r="O13" s="26" t="s">
        <v>6</v>
      </c>
      <c r="P13" s="27"/>
      <c r="Q13" s="28"/>
      <c r="R13" s="29"/>
      <c r="S13" s="30"/>
      <c r="T13" s="31"/>
      <c r="U13" s="44"/>
      <c r="V13" s="22"/>
      <c r="W13" s="22"/>
      <c r="X13" s="22"/>
      <c r="Y13" s="22"/>
      <c r="Z13" s="22"/>
    </row>
    <row r="14" spans="1:26" s="5" customFormat="1" ht="66.599999999999994" customHeight="1">
      <c r="A14" s="6" t="s">
        <v>28</v>
      </c>
      <c r="B14" s="7" t="s">
        <v>29</v>
      </c>
      <c r="C14" s="22"/>
      <c r="D14" s="23" t="s">
        <v>12</v>
      </c>
      <c r="E14" s="24">
        <v>180</v>
      </c>
      <c r="F14" s="4" t="s">
        <v>13</v>
      </c>
      <c r="G14" s="4">
        <v>1</v>
      </c>
      <c r="H14" s="8" t="s">
        <v>14</v>
      </c>
      <c r="I14" s="4" t="s">
        <v>15</v>
      </c>
      <c r="J14" s="22"/>
      <c r="K14" s="4"/>
      <c r="L14" s="4"/>
      <c r="M14" s="23" t="s">
        <v>8</v>
      </c>
      <c r="N14" s="25">
        <f t="shared" si="0"/>
        <v>180</v>
      </c>
      <c r="O14" s="26" t="s">
        <v>6</v>
      </c>
      <c r="P14" s="27"/>
      <c r="Q14" s="28"/>
      <c r="R14" s="29"/>
      <c r="S14" s="30"/>
      <c r="T14" s="31"/>
      <c r="U14" s="44"/>
      <c r="V14" s="22"/>
      <c r="W14" s="22"/>
      <c r="X14" s="22"/>
      <c r="Y14" s="22"/>
      <c r="Z14" s="22"/>
    </row>
    <row r="15" spans="1:26" s="5" customFormat="1" ht="66.599999999999994" customHeight="1">
      <c r="A15" s="6" t="s">
        <v>30</v>
      </c>
      <c r="B15" s="7" t="s">
        <v>31</v>
      </c>
      <c r="C15" s="22"/>
      <c r="D15" s="23" t="s">
        <v>12</v>
      </c>
      <c r="E15" s="24">
        <v>58</v>
      </c>
      <c r="F15" s="4" t="s">
        <v>13</v>
      </c>
      <c r="G15" s="4">
        <v>1</v>
      </c>
      <c r="H15" s="8" t="s">
        <v>14</v>
      </c>
      <c r="I15" s="4" t="s">
        <v>15</v>
      </c>
      <c r="J15" s="22"/>
      <c r="K15" s="4"/>
      <c r="L15" s="4"/>
      <c r="M15" s="23" t="s">
        <v>8</v>
      </c>
      <c r="N15" s="25">
        <f t="shared" si="0"/>
        <v>58</v>
      </c>
      <c r="O15" s="26" t="s">
        <v>6</v>
      </c>
      <c r="P15" s="27"/>
      <c r="Q15" s="28"/>
      <c r="R15" s="29"/>
      <c r="S15" s="30"/>
      <c r="T15" s="31"/>
      <c r="U15" s="44"/>
      <c r="V15" s="22"/>
      <c r="W15" s="22"/>
      <c r="X15" s="22"/>
      <c r="Y15" s="22"/>
      <c r="Z15" s="22"/>
    </row>
    <row r="16" spans="1:26" s="5" customFormat="1" ht="34.799999999999997" customHeight="1">
      <c r="A16" s="6" t="s">
        <v>32</v>
      </c>
      <c r="B16" s="7" t="s">
        <v>74</v>
      </c>
      <c r="C16" s="22"/>
      <c r="D16" s="23" t="s">
        <v>12</v>
      </c>
      <c r="E16" s="24">
        <v>13</v>
      </c>
      <c r="F16" s="4" t="s">
        <v>13</v>
      </c>
      <c r="G16" s="4">
        <v>2</v>
      </c>
      <c r="H16" s="8" t="s">
        <v>14</v>
      </c>
      <c r="I16" s="4" t="s">
        <v>15</v>
      </c>
      <c r="J16" s="22"/>
      <c r="K16" s="4"/>
      <c r="L16" s="4"/>
      <c r="M16" s="23" t="s">
        <v>8</v>
      </c>
      <c r="N16" s="25">
        <f t="shared" si="0"/>
        <v>26</v>
      </c>
      <c r="O16" s="26" t="s">
        <v>6</v>
      </c>
      <c r="P16" s="27"/>
      <c r="Q16" s="28"/>
      <c r="R16" s="29"/>
      <c r="S16" s="30"/>
      <c r="T16" s="31"/>
      <c r="U16" s="44"/>
      <c r="V16" s="22"/>
      <c r="W16" s="22"/>
      <c r="X16" s="22"/>
      <c r="Y16" s="22"/>
      <c r="Z16" s="22"/>
    </row>
    <row r="17" spans="1:26" s="5" customFormat="1" ht="37.200000000000003" customHeight="1">
      <c r="A17" s="6" t="s">
        <v>33</v>
      </c>
      <c r="B17" s="7" t="s">
        <v>34</v>
      </c>
      <c r="C17" s="22"/>
      <c r="D17" s="23" t="s">
        <v>12</v>
      </c>
      <c r="E17" s="24">
        <v>13</v>
      </c>
      <c r="F17" s="4" t="s">
        <v>13</v>
      </c>
      <c r="G17" s="4">
        <v>2</v>
      </c>
      <c r="H17" s="8" t="s">
        <v>14</v>
      </c>
      <c r="I17" s="4" t="s">
        <v>15</v>
      </c>
      <c r="J17" s="22"/>
      <c r="K17" s="4"/>
      <c r="L17" s="4"/>
      <c r="M17" s="23" t="s">
        <v>8</v>
      </c>
      <c r="N17" s="25">
        <f t="shared" si="0"/>
        <v>26</v>
      </c>
      <c r="O17" s="26" t="s">
        <v>6</v>
      </c>
      <c r="P17" s="27"/>
      <c r="Q17" s="28"/>
      <c r="R17" s="29"/>
      <c r="S17" s="30"/>
      <c r="T17" s="31"/>
      <c r="U17" s="44"/>
      <c r="V17" s="22"/>
      <c r="W17" s="22"/>
      <c r="X17" s="22"/>
      <c r="Y17" s="22"/>
      <c r="Z17" s="22"/>
    </row>
    <row r="18" spans="1:26" s="5" customFormat="1" ht="45.6" customHeight="1">
      <c r="A18" s="9">
        <v>2</v>
      </c>
      <c r="B18" s="41" t="s">
        <v>66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19" t="s">
        <v>8</v>
      </c>
      <c r="P18" s="20">
        <f>SUM(N19:N32)</f>
        <v>5068</v>
      </c>
      <c r="Q18" s="21" t="s">
        <v>6</v>
      </c>
      <c r="R18" s="51">
        <f>P18</f>
        <v>5068</v>
      </c>
      <c r="S18" s="42"/>
      <c r="T18" s="44"/>
      <c r="U18" s="44"/>
      <c r="V18" s="22"/>
      <c r="W18" s="22"/>
      <c r="X18" s="22"/>
      <c r="Y18" s="22"/>
      <c r="Z18" s="22"/>
    </row>
    <row r="19" spans="1:26" s="5" customFormat="1" ht="72.599999999999994" customHeight="1">
      <c r="A19" s="6" t="s">
        <v>35</v>
      </c>
      <c r="B19" s="7" t="s">
        <v>36</v>
      </c>
      <c r="C19" s="22"/>
      <c r="D19" s="23" t="s">
        <v>12</v>
      </c>
      <c r="E19" s="24">
        <v>55</v>
      </c>
      <c r="F19" s="4" t="s">
        <v>13</v>
      </c>
      <c r="G19" s="4">
        <v>1</v>
      </c>
      <c r="H19" s="8" t="s">
        <v>14</v>
      </c>
      <c r="I19" s="4" t="s">
        <v>15</v>
      </c>
      <c r="J19" s="22"/>
      <c r="K19" s="4"/>
      <c r="L19" s="4"/>
      <c r="M19" s="23" t="s">
        <v>8</v>
      </c>
      <c r="N19" s="25">
        <f t="shared" ref="N19:N32" si="1">E19*G19</f>
        <v>55</v>
      </c>
      <c r="O19" s="26" t="s">
        <v>6</v>
      </c>
      <c r="P19" s="27"/>
      <c r="Q19" s="28"/>
      <c r="R19" s="29"/>
      <c r="S19" s="30"/>
      <c r="T19" s="31"/>
      <c r="U19" s="44"/>
      <c r="V19" s="22"/>
      <c r="W19" s="22"/>
      <c r="X19" s="22"/>
      <c r="Y19" s="22"/>
      <c r="Z19" s="22"/>
    </row>
    <row r="20" spans="1:26" s="5" customFormat="1" ht="107.4" customHeight="1">
      <c r="A20" s="6" t="s">
        <v>37</v>
      </c>
      <c r="B20" s="7" t="s">
        <v>38</v>
      </c>
      <c r="C20" s="22"/>
      <c r="D20" s="23" t="s">
        <v>12</v>
      </c>
      <c r="E20" s="24">
        <v>285</v>
      </c>
      <c r="F20" s="4" t="s">
        <v>13</v>
      </c>
      <c r="G20" s="4">
        <v>1</v>
      </c>
      <c r="H20" s="8" t="s">
        <v>14</v>
      </c>
      <c r="I20" s="4" t="s">
        <v>15</v>
      </c>
      <c r="J20" s="22"/>
      <c r="K20" s="4"/>
      <c r="L20" s="4"/>
      <c r="M20" s="23" t="s">
        <v>8</v>
      </c>
      <c r="N20" s="25">
        <f t="shared" si="1"/>
        <v>285</v>
      </c>
      <c r="O20" s="26" t="s">
        <v>6</v>
      </c>
      <c r="P20" s="27"/>
      <c r="Q20" s="28"/>
      <c r="R20" s="29"/>
      <c r="S20" s="30"/>
      <c r="T20" s="31"/>
      <c r="U20" s="44"/>
      <c r="V20" s="22"/>
      <c r="W20" s="22"/>
      <c r="X20" s="22"/>
      <c r="Y20" s="22"/>
      <c r="Z20" s="22"/>
    </row>
    <row r="21" spans="1:26" s="5" customFormat="1" ht="103.2" customHeight="1">
      <c r="A21" s="6" t="s">
        <v>39</v>
      </c>
      <c r="B21" s="7" t="s">
        <v>69</v>
      </c>
      <c r="C21" s="22"/>
      <c r="D21" s="23" t="s">
        <v>12</v>
      </c>
      <c r="E21" s="24">
        <v>20</v>
      </c>
      <c r="F21" s="4" t="s">
        <v>13</v>
      </c>
      <c r="G21" s="4">
        <v>1</v>
      </c>
      <c r="H21" s="8" t="s">
        <v>14</v>
      </c>
      <c r="I21" s="4" t="s">
        <v>15</v>
      </c>
      <c r="J21" s="22"/>
      <c r="K21" s="4"/>
      <c r="L21" s="4"/>
      <c r="M21" s="23" t="s">
        <v>8</v>
      </c>
      <c r="N21" s="25">
        <f t="shared" si="1"/>
        <v>20</v>
      </c>
      <c r="O21" s="26" t="s">
        <v>6</v>
      </c>
      <c r="P21" s="27"/>
      <c r="Q21" s="28"/>
      <c r="R21" s="29"/>
      <c r="S21" s="30"/>
      <c r="T21" s="31"/>
      <c r="U21" s="44"/>
      <c r="V21" s="22"/>
      <c r="W21" s="22"/>
      <c r="X21" s="22"/>
      <c r="Y21" s="22"/>
      <c r="Z21" s="22"/>
    </row>
    <row r="22" spans="1:26" s="5" customFormat="1" ht="106.2" customHeight="1">
      <c r="A22" s="6" t="s">
        <v>40</v>
      </c>
      <c r="B22" s="7" t="s">
        <v>70</v>
      </c>
      <c r="C22" s="22"/>
      <c r="D22" s="23" t="s">
        <v>12</v>
      </c>
      <c r="E22" s="24">
        <v>120</v>
      </c>
      <c r="F22" s="4" t="s">
        <v>13</v>
      </c>
      <c r="G22" s="4">
        <v>1</v>
      </c>
      <c r="H22" s="8" t="s">
        <v>14</v>
      </c>
      <c r="I22" s="4" t="s">
        <v>15</v>
      </c>
      <c r="J22" s="22"/>
      <c r="K22" s="4"/>
      <c r="L22" s="4"/>
      <c r="M22" s="23" t="s">
        <v>8</v>
      </c>
      <c r="N22" s="25">
        <f t="shared" si="1"/>
        <v>120</v>
      </c>
      <c r="O22" s="26" t="s">
        <v>6</v>
      </c>
      <c r="P22" s="27"/>
      <c r="Q22" s="28"/>
      <c r="R22" s="29"/>
      <c r="S22" s="30"/>
      <c r="T22" s="31"/>
      <c r="U22" s="44"/>
      <c r="V22" s="22"/>
      <c r="W22" s="22"/>
      <c r="X22" s="22"/>
      <c r="Y22" s="22"/>
      <c r="Z22" s="22"/>
    </row>
    <row r="23" spans="1:26" s="5" customFormat="1" ht="72.599999999999994" customHeight="1">
      <c r="A23" s="6" t="s">
        <v>41</v>
      </c>
      <c r="B23" s="7" t="s">
        <v>71</v>
      </c>
      <c r="C23" s="22"/>
      <c r="D23" s="23" t="s">
        <v>12</v>
      </c>
      <c r="E23" s="24">
        <v>170</v>
      </c>
      <c r="F23" s="4" t="s">
        <v>13</v>
      </c>
      <c r="G23" s="4">
        <v>3</v>
      </c>
      <c r="H23" s="8" t="s">
        <v>14</v>
      </c>
      <c r="I23" s="4" t="s">
        <v>15</v>
      </c>
      <c r="J23" s="22"/>
      <c r="K23" s="4"/>
      <c r="L23" s="4"/>
      <c r="M23" s="23" t="s">
        <v>8</v>
      </c>
      <c r="N23" s="25">
        <f t="shared" si="1"/>
        <v>510</v>
      </c>
      <c r="O23" s="26" t="s">
        <v>6</v>
      </c>
      <c r="P23" s="27"/>
      <c r="Q23" s="28"/>
      <c r="R23" s="29"/>
      <c r="S23" s="30"/>
      <c r="T23" s="31"/>
      <c r="U23" s="44"/>
      <c r="V23" s="22"/>
      <c r="W23" s="22"/>
      <c r="X23" s="22"/>
      <c r="Y23" s="22"/>
      <c r="Z23" s="22"/>
    </row>
    <row r="24" spans="1:26" s="5" customFormat="1" ht="72.599999999999994" customHeight="1">
      <c r="A24" s="6" t="s">
        <v>42</v>
      </c>
      <c r="B24" s="7" t="s">
        <v>43</v>
      </c>
      <c r="C24" s="22"/>
      <c r="D24" s="23" t="s">
        <v>12</v>
      </c>
      <c r="E24" s="24">
        <v>360</v>
      </c>
      <c r="F24" s="4" t="s">
        <v>13</v>
      </c>
      <c r="G24" s="4">
        <v>3</v>
      </c>
      <c r="H24" s="8" t="s">
        <v>14</v>
      </c>
      <c r="I24" s="4" t="s">
        <v>15</v>
      </c>
      <c r="J24" s="22"/>
      <c r="K24" s="4"/>
      <c r="L24" s="4"/>
      <c r="M24" s="23" t="s">
        <v>8</v>
      </c>
      <c r="N24" s="25">
        <f t="shared" si="1"/>
        <v>1080</v>
      </c>
      <c r="O24" s="26" t="s">
        <v>6</v>
      </c>
      <c r="P24" s="27"/>
      <c r="Q24" s="28"/>
      <c r="R24" s="29"/>
      <c r="S24" s="30"/>
      <c r="T24" s="31"/>
      <c r="U24" s="44"/>
      <c r="V24" s="22"/>
      <c r="W24" s="22"/>
      <c r="X24" s="22"/>
      <c r="Y24" s="22"/>
      <c r="Z24" s="22"/>
    </row>
    <row r="25" spans="1:26" s="5" customFormat="1" ht="107.4" customHeight="1">
      <c r="A25" s="6" t="s">
        <v>44</v>
      </c>
      <c r="B25" s="7" t="s">
        <v>45</v>
      </c>
      <c r="C25" s="22"/>
      <c r="D25" s="23" t="s">
        <v>12</v>
      </c>
      <c r="E25" s="24">
        <v>2150</v>
      </c>
      <c r="F25" s="4" t="s">
        <v>13</v>
      </c>
      <c r="G25" s="4">
        <v>1</v>
      </c>
      <c r="H25" s="8" t="s">
        <v>14</v>
      </c>
      <c r="I25" s="4" t="s">
        <v>15</v>
      </c>
      <c r="J25" s="22"/>
      <c r="K25" s="4"/>
      <c r="L25" s="4"/>
      <c r="M25" s="23" t="s">
        <v>8</v>
      </c>
      <c r="N25" s="25">
        <f t="shared" si="1"/>
        <v>2150</v>
      </c>
      <c r="O25" s="26" t="s">
        <v>6</v>
      </c>
      <c r="P25" s="27"/>
      <c r="Q25" s="28"/>
      <c r="R25" s="29"/>
      <c r="S25" s="30"/>
      <c r="T25" s="31"/>
      <c r="U25" s="44"/>
      <c r="V25" s="22"/>
      <c r="W25" s="22"/>
      <c r="X25" s="22"/>
      <c r="Y25" s="22"/>
      <c r="Z25" s="22"/>
    </row>
    <row r="26" spans="1:26" s="5" customFormat="1" ht="144.6" customHeight="1">
      <c r="A26" s="6" t="s">
        <v>46</v>
      </c>
      <c r="B26" s="7" t="s">
        <v>72</v>
      </c>
      <c r="C26" s="22"/>
      <c r="D26" s="23" t="s">
        <v>12</v>
      </c>
      <c r="E26" s="24">
        <v>200</v>
      </c>
      <c r="F26" s="4" t="s">
        <v>13</v>
      </c>
      <c r="G26" s="4">
        <v>1</v>
      </c>
      <c r="H26" s="8" t="s">
        <v>47</v>
      </c>
      <c r="I26" s="4" t="s">
        <v>15</v>
      </c>
      <c r="J26" s="22"/>
      <c r="K26" s="4"/>
      <c r="L26" s="4"/>
      <c r="M26" s="23" t="s">
        <v>8</v>
      </c>
      <c r="N26" s="25">
        <f t="shared" si="1"/>
        <v>200</v>
      </c>
      <c r="O26" s="26" t="s">
        <v>6</v>
      </c>
      <c r="P26" s="27"/>
      <c r="Q26" s="28"/>
      <c r="R26" s="29"/>
      <c r="S26" s="30"/>
      <c r="T26" s="31"/>
      <c r="U26" s="44"/>
      <c r="V26" s="22"/>
      <c r="W26" s="22"/>
      <c r="X26" s="22"/>
      <c r="Y26" s="22"/>
      <c r="Z26" s="22"/>
    </row>
    <row r="27" spans="1:26" s="5" customFormat="1" ht="40.799999999999997" customHeight="1">
      <c r="A27" s="6" t="s">
        <v>48</v>
      </c>
      <c r="B27" s="7" t="s">
        <v>49</v>
      </c>
      <c r="C27" s="22"/>
      <c r="D27" s="23" t="s">
        <v>12</v>
      </c>
      <c r="E27" s="24">
        <v>8</v>
      </c>
      <c r="F27" s="4" t="s">
        <v>13</v>
      </c>
      <c r="G27" s="4">
        <v>3</v>
      </c>
      <c r="H27" s="8" t="s">
        <v>50</v>
      </c>
      <c r="I27" s="4" t="s">
        <v>15</v>
      </c>
      <c r="J27" s="22"/>
      <c r="K27" s="4"/>
      <c r="L27" s="4"/>
      <c r="M27" s="23" t="s">
        <v>8</v>
      </c>
      <c r="N27" s="25">
        <f t="shared" si="1"/>
        <v>24</v>
      </c>
      <c r="O27" s="26" t="s">
        <v>6</v>
      </c>
      <c r="P27" s="27"/>
      <c r="Q27" s="28"/>
      <c r="R27" s="29"/>
      <c r="S27" s="30"/>
      <c r="T27" s="31"/>
      <c r="U27" s="44"/>
      <c r="V27" s="22"/>
      <c r="W27" s="22"/>
      <c r="X27" s="22"/>
      <c r="Y27" s="22"/>
      <c r="Z27" s="22"/>
    </row>
    <row r="28" spans="1:26" s="5" customFormat="1" ht="39" customHeight="1">
      <c r="A28" s="6" t="s">
        <v>51</v>
      </c>
      <c r="B28" s="7" t="s">
        <v>52</v>
      </c>
      <c r="C28" s="22"/>
      <c r="D28" s="23" t="s">
        <v>12</v>
      </c>
      <c r="E28" s="24">
        <v>8</v>
      </c>
      <c r="F28" s="4" t="s">
        <v>13</v>
      </c>
      <c r="G28" s="4">
        <v>3</v>
      </c>
      <c r="H28" s="8" t="s">
        <v>50</v>
      </c>
      <c r="I28" s="4" t="s">
        <v>15</v>
      </c>
      <c r="J28" s="22"/>
      <c r="K28" s="4"/>
      <c r="L28" s="4"/>
      <c r="M28" s="23" t="s">
        <v>8</v>
      </c>
      <c r="N28" s="25">
        <f t="shared" si="1"/>
        <v>24</v>
      </c>
      <c r="O28" s="26" t="s">
        <v>6</v>
      </c>
      <c r="P28" s="27"/>
      <c r="Q28" s="28"/>
      <c r="R28" s="29"/>
      <c r="S28" s="30"/>
      <c r="T28" s="31"/>
      <c r="U28" s="44"/>
      <c r="V28" s="22"/>
      <c r="W28" s="22"/>
      <c r="X28" s="22"/>
      <c r="Y28" s="22"/>
      <c r="Z28" s="22"/>
    </row>
    <row r="29" spans="1:26" s="5" customFormat="1" ht="39" customHeight="1">
      <c r="A29" s="6" t="s">
        <v>53</v>
      </c>
      <c r="B29" s="7" t="s">
        <v>54</v>
      </c>
      <c r="C29" s="22"/>
      <c r="D29" s="23" t="s">
        <v>12</v>
      </c>
      <c r="E29" s="24">
        <v>110</v>
      </c>
      <c r="F29" s="4" t="s">
        <v>13</v>
      </c>
      <c r="G29" s="4">
        <v>1</v>
      </c>
      <c r="H29" s="8" t="s">
        <v>50</v>
      </c>
      <c r="I29" s="4" t="s">
        <v>15</v>
      </c>
      <c r="J29" s="22"/>
      <c r="K29" s="4"/>
      <c r="L29" s="4"/>
      <c r="M29" s="23" t="s">
        <v>8</v>
      </c>
      <c r="N29" s="25">
        <f t="shared" si="1"/>
        <v>110</v>
      </c>
      <c r="O29" s="26" t="s">
        <v>6</v>
      </c>
      <c r="P29" s="27"/>
      <c r="Q29" s="28"/>
      <c r="R29" s="29"/>
      <c r="S29" s="30"/>
      <c r="T29" s="31"/>
      <c r="U29" s="44"/>
      <c r="V29" s="22"/>
      <c r="W29" s="22"/>
      <c r="X29" s="22"/>
      <c r="Y29" s="22"/>
      <c r="Z29" s="22"/>
    </row>
    <row r="30" spans="1:26" s="5" customFormat="1" ht="39" customHeight="1">
      <c r="A30" s="6" t="s">
        <v>55</v>
      </c>
      <c r="B30" s="7" t="s">
        <v>56</v>
      </c>
      <c r="C30" s="22"/>
      <c r="D30" s="23" t="s">
        <v>12</v>
      </c>
      <c r="E30" s="24">
        <v>110</v>
      </c>
      <c r="F30" s="4" t="s">
        <v>13</v>
      </c>
      <c r="G30" s="4">
        <v>1</v>
      </c>
      <c r="H30" s="8" t="s">
        <v>50</v>
      </c>
      <c r="I30" s="4" t="s">
        <v>15</v>
      </c>
      <c r="J30" s="22"/>
      <c r="K30" s="4"/>
      <c r="L30" s="4"/>
      <c r="M30" s="23" t="s">
        <v>8</v>
      </c>
      <c r="N30" s="25">
        <f t="shared" si="1"/>
        <v>110</v>
      </c>
      <c r="O30" s="26" t="s">
        <v>6</v>
      </c>
      <c r="P30" s="27"/>
      <c r="Q30" s="28"/>
      <c r="R30" s="29"/>
      <c r="S30" s="30"/>
      <c r="T30" s="31"/>
      <c r="U30" s="44"/>
      <c r="V30" s="22"/>
      <c r="W30" s="22"/>
      <c r="X30" s="22"/>
      <c r="Y30" s="22"/>
      <c r="Z30" s="22"/>
    </row>
    <row r="31" spans="1:26" s="5" customFormat="1" ht="39" customHeight="1">
      <c r="A31" s="6" t="s">
        <v>57</v>
      </c>
      <c r="B31" s="7" t="s">
        <v>58</v>
      </c>
      <c r="C31" s="22"/>
      <c r="D31" s="23" t="s">
        <v>12</v>
      </c>
      <c r="E31" s="24">
        <v>90</v>
      </c>
      <c r="F31" s="4" t="s">
        <v>13</v>
      </c>
      <c r="G31" s="4">
        <v>2</v>
      </c>
      <c r="H31" s="8" t="s">
        <v>14</v>
      </c>
      <c r="I31" s="4" t="s">
        <v>15</v>
      </c>
      <c r="J31" s="22"/>
      <c r="K31" s="4"/>
      <c r="L31" s="4"/>
      <c r="M31" s="23" t="s">
        <v>8</v>
      </c>
      <c r="N31" s="25">
        <f t="shared" si="1"/>
        <v>180</v>
      </c>
      <c r="O31" s="26" t="s">
        <v>6</v>
      </c>
      <c r="P31" s="27"/>
      <c r="Q31" s="28"/>
      <c r="R31" s="29"/>
      <c r="S31" s="30"/>
      <c r="T31" s="31"/>
      <c r="U31" s="44"/>
      <c r="V31" s="22"/>
      <c r="W31" s="22"/>
      <c r="X31" s="22"/>
      <c r="Y31" s="22"/>
      <c r="Z31" s="22"/>
    </row>
    <row r="32" spans="1:26" s="5" customFormat="1" ht="109.8" customHeight="1">
      <c r="A32" s="6" t="s">
        <v>59</v>
      </c>
      <c r="B32" s="7" t="s">
        <v>60</v>
      </c>
      <c r="C32" s="22"/>
      <c r="D32" s="23" t="s">
        <v>12</v>
      </c>
      <c r="E32" s="24">
        <v>200</v>
      </c>
      <c r="F32" s="4" t="s">
        <v>13</v>
      </c>
      <c r="G32" s="4">
        <v>1</v>
      </c>
      <c r="H32" s="8" t="s">
        <v>14</v>
      </c>
      <c r="I32" s="4" t="s">
        <v>15</v>
      </c>
      <c r="J32" s="22"/>
      <c r="K32" s="4"/>
      <c r="L32" s="4"/>
      <c r="M32" s="23" t="s">
        <v>8</v>
      </c>
      <c r="N32" s="25">
        <f t="shared" si="1"/>
        <v>200</v>
      </c>
      <c r="O32" s="26" t="s">
        <v>6</v>
      </c>
      <c r="P32" s="27"/>
      <c r="Q32" s="28"/>
      <c r="R32" s="29"/>
      <c r="S32" s="30"/>
      <c r="T32" s="31"/>
      <c r="U32" s="44"/>
      <c r="V32" s="22"/>
      <c r="W32" s="22"/>
      <c r="X32" s="22"/>
      <c r="Y32" s="22"/>
      <c r="Z32" s="22"/>
    </row>
    <row r="33" spans="1:26" s="5" customFormat="1" ht="52.2" customHeight="1">
      <c r="A33" s="9">
        <v>3</v>
      </c>
      <c r="B33" s="41" t="s">
        <v>67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19" t="s">
        <v>8</v>
      </c>
      <c r="P33" s="20">
        <f>SUM(N34:N34)</f>
        <v>1677</v>
      </c>
      <c r="Q33" s="21" t="s">
        <v>6</v>
      </c>
      <c r="R33" s="51">
        <f>P33</f>
        <v>1677</v>
      </c>
      <c r="S33" s="42"/>
      <c r="T33" s="44"/>
      <c r="U33" s="44"/>
      <c r="V33" s="22"/>
      <c r="W33" s="22"/>
      <c r="X33" s="22"/>
      <c r="Y33" s="22"/>
      <c r="Z33" s="22"/>
    </row>
    <row r="34" spans="1:26" s="5" customFormat="1" ht="69.599999999999994" customHeight="1">
      <c r="A34" s="6" t="s">
        <v>61</v>
      </c>
      <c r="B34" s="7" t="s">
        <v>73</v>
      </c>
      <c r="C34" s="22"/>
      <c r="D34" s="23" t="s">
        <v>12</v>
      </c>
      <c r="E34" s="24">
        <v>559</v>
      </c>
      <c r="F34" s="4" t="s">
        <v>13</v>
      </c>
      <c r="G34" s="4">
        <v>3</v>
      </c>
      <c r="H34" s="8" t="s">
        <v>14</v>
      </c>
      <c r="I34" s="4" t="s">
        <v>15</v>
      </c>
      <c r="J34" s="22"/>
      <c r="K34" s="4"/>
      <c r="L34" s="4"/>
      <c r="M34" s="23" t="s">
        <v>8</v>
      </c>
      <c r="N34" s="25">
        <f>E34*G34</f>
        <v>1677</v>
      </c>
      <c r="O34" s="26" t="s">
        <v>6</v>
      </c>
      <c r="P34" s="27"/>
      <c r="Q34" s="28"/>
      <c r="R34" s="29"/>
      <c r="S34" s="30"/>
      <c r="T34" s="31"/>
      <c r="U34" s="44"/>
      <c r="V34" s="22"/>
      <c r="W34" s="22"/>
      <c r="X34" s="22"/>
      <c r="Y34" s="22"/>
      <c r="Z34" s="22"/>
    </row>
    <row r="35" spans="1:26" s="5" customFormat="1" ht="52.2" customHeight="1">
      <c r="A35" s="9">
        <v>4</v>
      </c>
      <c r="B35" s="41" t="s">
        <v>68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19" t="s">
        <v>8</v>
      </c>
      <c r="P35" s="20">
        <f>SUM(N36:N36)</f>
        <v>257</v>
      </c>
      <c r="Q35" s="21" t="s">
        <v>6</v>
      </c>
      <c r="R35" s="51">
        <f>P35</f>
        <v>257</v>
      </c>
      <c r="S35" s="42"/>
      <c r="T35" s="44"/>
      <c r="U35" s="44"/>
      <c r="V35" s="22"/>
      <c r="W35" s="22"/>
      <c r="X35" s="22"/>
      <c r="Y35" s="22"/>
      <c r="Z35" s="22"/>
    </row>
    <row r="36" spans="1:26" s="5" customFormat="1" ht="36" customHeight="1">
      <c r="A36" s="6" t="s">
        <v>62</v>
      </c>
      <c r="B36" s="7" t="s">
        <v>63</v>
      </c>
      <c r="C36" s="22"/>
      <c r="D36" s="23" t="s">
        <v>12</v>
      </c>
      <c r="E36" s="24">
        <v>257</v>
      </c>
      <c r="F36" s="4" t="s">
        <v>13</v>
      </c>
      <c r="G36" s="4">
        <v>1</v>
      </c>
      <c r="H36" s="8" t="s">
        <v>14</v>
      </c>
      <c r="I36" s="4" t="s">
        <v>15</v>
      </c>
      <c r="J36" s="22"/>
      <c r="K36" s="4"/>
      <c r="L36" s="4"/>
      <c r="M36" s="23" t="s">
        <v>8</v>
      </c>
      <c r="N36" s="25">
        <f>E36*G36</f>
        <v>257</v>
      </c>
      <c r="O36" s="26" t="s">
        <v>6</v>
      </c>
      <c r="P36" s="27"/>
      <c r="Q36" s="28"/>
      <c r="R36" s="29"/>
      <c r="S36" s="30"/>
      <c r="T36" s="31"/>
      <c r="U36" s="44"/>
      <c r="V36" s="22"/>
      <c r="W36" s="22"/>
      <c r="X36" s="22"/>
      <c r="Y36" s="22"/>
      <c r="Z36" s="22"/>
    </row>
    <row r="37" spans="1:26" s="5" customFormat="1" ht="33.75" customHeight="1">
      <c r="A37" s="32" t="s">
        <v>64</v>
      </c>
      <c r="B37" s="46" t="str">
        <f>BAHTTEXT(R37)</f>
        <v>เจ็ดพันเจ็ดร้อยยี่สิบหกบาทถ้วน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8"/>
      <c r="R37" s="52">
        <f>SUM(R6:R36)</f>
        <v>7726</v>
      </c>
      <c r="S37" s="47"/>
      <c r="T37" s="48"/>
      <c r="U37" s="45"/>
      <c r="V37" s="22"/>
      <c r="W37" s="22"/>
      <c r="X37" s="22"/>
      <c r="Y37" s="22"/>
      <c r="Z37" s="22"/>
    </row>
    <row r="38" spans="1:26" s="39" customFormat="1" ht="28.5" customHeight="1">
      <c r="A38" s="38"/>
      <c r="T38" s="40"/>
      <c r="U38" s="34"/>
    </row>
    <row r="39" spans="1:26" ht="18.75" customHeight="1"/>
    <row r="40" spans="1:26" ht="18.75" customHeight="1"/>
    <row r="41" spans="1:26" ht="18.75" customHeight="1"/>
    <row r="42" spans="1:26" ht="18.75" customHeight="1"/>
    <row r="43" spans="1:26" ht="18.75" customHeight="1"/>
    <row r="44" spans="1:26" ht="18.75" customHeight="1"/>
    <row r="45" spans="1:26" ht="18.75" customHeight="1"/>
    <row r="46" spans="1:26" ht="18.75" customHeight="1"/>
    <row r="47" spans="1:26" ht="18.75" customHeight="1"/>
    <row r="48" spans="1:26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</sheetData>
  <mergeCells count="17">
    <mergeCell ref="A1:U1"/>
    <mergeCell ref="R6:T6"/>
    <mergeCell ref="A3:U3"/>
    <mergeCell ref="B5:Q5"/>
    <mergeCell ref="A2:U2"/>
    <mergeCell ref="B35:N35"/>
    <mergeCell ref="U6:U37"/>
    <mergeCell ref="B37:Q37"/>
    <mergeCell ref="A4:U4"/>
    <mergeCell ref="R33:T33"/>
    <mergeCell ref="R37:T37"/>
    <mergeCell ref="R5:T5"/>
    <mergeCell ref="R18:T18"/>
    <mergeCell ref="B18:N18"/>
    <mergeCell ref="B33:N33"/>
    <mergeCell ref="R35:T35"/>
    <mergeCell ref="B6:N6"/>
  </mergeCells>
  <printOptions horizontalCentered="1"/>
  <pageMargins left="0.31496062992126" right="0.118110236220472" top="0.35433070866141703" bottom="0.15748031496063" header="0.31496062992126" footer="0.31496062992126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สรุปเบิกเงินค่าวัสดุ (ดล)</vt:lpstr>
      <vt:lpstr>'สรุปเบิกเงินค่าวัสดุ (ดล)'!Print_Area</vt:lpstr>
      <vt:lpstr>'สรุปเบิกเงินค่าวัสดุ (ดล)'!Print_Titles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Wichaporn.kup</dc:creator>
  <cp:lastModifiedBy>พาคิม ทำธุง</cp:lastModifiedBy>
  <cp:lastPrinted>2026-06-29T07:43:58Z</cp:lastPrinted>
  <dcterms:created xsi:type="dcterms:W3CDTF">2023-06-14T08:47:17Z</dcterms:created>
  <dcterms:modified xsi:type="dcterms:W3CDTF">2026-06-29T09:03:13Z</dcterms:modified>
</cp:coreProperties>
</file>