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geeporn.jam\Desktop\ซื้อวัสดุ ศรีๆๆๆๆๆๆๆๆๆๆๆๆ\"/>
    </mc:Choice>
  </mc:AlternateContent>
  <xr:revisionPtr revIDLastSave="0" documentId="13_ncr:1_{8A5F925A-F685-4ACD-AF49-063B76E0FE4B}" xr6:coauthVersionLast="47" xr6:coauthVersionMax="47" xr10:uidLastSave="{00000000-0000-0000-0000-000000000000}"/>
  <bookViews>
    <workbookView xWindow="-120" yWindow="-120" windowWidth="29040" windowHeight="15720" tabRatio="565" xr2:uid="{A6627AB6-0991-4703-9BA0-AE5C85E7E353}"/>
  </bookViews>
  <sheets>
    <sheet name="ปะหน้า (FD.03)(ดล)" sheetId="16" r:id="rId1"/>
    <sheet name="สรุปเบิกเงินค่าวัสดุ (ดล)" sheetId="15" r:id="rId2"/>
  </sheets>
  <definedNames>
    <definedName name="_xlnm.Print_Area" localSheetId="0">'ปะหน้า (FD.03)(ดล)'!$A$1:$AR$65</definedName>
    <definedName name="_xlnm.Print_Area" localSheetId="1">'สรุปเบิกเงินค่าวัสดุ (ดล)'!$A$1:$U$56</definedName>
    <definedName name="_xlnm.Print_Titles" localSheetId="1">'สรุปเบิกเงินค่าวัสดุ (ดล)'!$4:$4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6" i="15" l="1"/>
  <c r="S54" i="15"/>
  <c r="S53" i="15"/>
  <c r="S52" i="15"/>
  <c r="AB13" i="16"/>
  <c r="T60" i="16"/>
  <c r="V65" i="16" s="1"/>
  <c r="AG26" i="16" l="1"/>
  <c r="AZ29" i="16" s="1"/>
  <c r="E15" i="16"/>
  <c r="K15" i="16" s="1"/>
  <c r="R12" i="15" l="1"/>
  <c r="N43" i="15"/>
  <c r="P42" i="15" s="1"/>
  <c r="N45" i="15"/>
  <c r="P44" i="15" s="1"/>
  <c r="N25" i="15"/>
  <c r="N24" i="15"/>
  <c r="R23" i="15" s="1"/>
  <c r="N37" i="15"/>
  <c r="N38" i="15"/>
  <c r="N39" i="15"/>
  <c r="N40" i="15"/>
  <c r="N31" i="15"/>
  <c r="N32" i="15"/>
  <c r="N33" i="15"/>
  <c r="N34" i="15"/>
  <c r="N35" i="15"/>
  <c r="N36" i="15"/>
  <c r="N19" i="15"/>
  <c r="N20" i="15"/>
  <c r="N21" i="15"/>
  <c r="N22" i="15"/>
  <c r="N18" i="15"/>
  <c r="N16" i="15"/>
  <c r="N15" i="15"/>
  <c r="P12" i="15"/>
  <c r="N11" i="15"/>
  <c r="N10" i="15"/>
  <c r="N7" i="15"/>
  <c r="N8" i="15"/>
  <c r="N6" i="15"/>
  <c r="R9" i="15" l="1"/>
  <c r="R14" i="15"/>
  <c r="R5" i="15"/>
  <c r="R44" i="15"/>
  <c r="R42" i="15"/>
  <c r="R27" i="15"/>
  <c r="R17" i="15"/>
  <c r="P27" i="15"/>
  <c r="P23" i="15"/>
  <c r="P14" i="15"/>
  <c r="P17" i="15"/>
  <c r="P9" i="15"/>
  <c r="P5" i="15"/>
  <c r="R46" i="15" l="1"/>
  <c r="B46" i="15" s="1"/>
</calcChain>
</file>

<file path=xl/sharedStrings.xml><?xml version="1.0" encoding="utf-8"?>
<sst xmlns="http://schemas.openxmlformats.org/spreadsheetml/2006/main" count="375" uniqueCount="164">
  <si>
    <t>(</t>
  </si>
  <si>
    <t>)</t>
  </si>
  <si>
    <t>หมายเหตุ</t>
  </si>
  <si>
    <t>บาท</t>
  </si>
  <si>
    <t>ลำดับ</t>
  </si>
  <si>
    <t>รวม</t>
  </si>
  <si>
    <t>ค่าใช้จ่ายของฝ่ายพัสดุและอาคารสถานที่</t>
  </si>
  <si>
    <t>รายละเอียด</t>
  </si>
  <si>
    <t>=</t>
  </si>
  <si>
    <t xml:space="preserve">บาท * </t>
  </si>
  <si>
    <t>อัน</t>
  </si>
  <si>
    <t>สรุปค่าใช้จ่ายภายใน</t>
  </si>
  <si>
    <t>รายการจัดซื้อวัสดุอุปกรณ์สนับสนุนการดำเนินงานการเปิดให้บริการ Space Inspirium</t>
  </si>
  <si>
    <t># ค.ชั่งน้ำหนัก NIKITO B2610GP-DG5 BK</t>
  </si>
  <si>
    <t>ถัง</t>
  </si>
  <si>
    <t>เครื่อง</t>
  </si>
  <si>
    <t>บริษัท ดูโฮม จำกัด (มหาชน)</t>
  </si>
  <si>
    <t>กล่องใส่ทิชชู่กลมม้วนใหญ่MR 101-2 สีดำใส</t>
  </si>
  <si>
    <t>ลัง</t>
  </si>
  <si>
    <t>ชิ้น</t>
  </si>
  <si>
    <t>พัทยาฮาร์ดแวร์ PATTAYA HARDWARE สำนักงานใหญ่</t>
  </si>
  <si>
    <t>เจลไล่นก</t>
  </si>
  <si>
    <t>แหลมฉบังการสื่อสาร LAEMCHABANG COMMUNICATION</t>
  </si>
  <si>
    <t>แบตเตอรี่ DX-5</t>
  </si>
  <si>
    <t>บริษัท ฮาร์ดแวร์เฮาส์ คอร์ปอเรชั่น จำกัด (สาขาแหลมฉบัง) (สาขาที่ 00009)</t>
  </si>
  <si>
    <t>ผ้าไมโครไฟเบอร์ GSG005 KLEANER=</t>
  </si>
  <si>
    <t>ตาข่าย PVC 4เหลี่ยม 17 มม.สีดำ</t>
  </si>
  <si>
    <t>ถ่านไฟฉายX HEAVY DUTY KODAK AAA30429696=</t>
  </si>
  <si>
    <t>แพ็ค</t>
  </si>
  <si>
    <t>ม้วน</t>
  </si>
  <si>
    <t>PK4</t>
  </si>
  <si>
    <t>บริษัท แฟชั่น คิงดอม จำกัด</t>
  </si>
  <si>
    <t>667659325566 WF BULB A THOUSAND WISHES</t>
  </si>
  <si>
    <t>667659328475 WF BULB GINGHAM</t>
  </si>
  <si>
    <t>667559263678 WF BLACK</t>
  </si>
  <si>
    <t>ส่วนลด</t>
  </si>
  <si>
    <t xml:space="preserve">บาท </t>
  </si>
  <si>
    <t>บริษัท ออฟฟิศเมท (ไทย) จำกัด สำนักงานใหญ่</t>
  </si>
  <si>
    <t>กระป๋อง</t>
  </si>
  <si>
    <t>ตัว</t>
  </si>
  <si>
    <t>ก้อน</t>
  </si>
  <si>
    <t>ขวด</t>
  </si>
  <si>
    <t>ถังขยะเหยียบเหลี่ยม SOFT CLOSE 10L สีเทา</t>
  </si>
  <si>
    <t>ถังขยะเหยียบเหลี่ยม SOFT CLOSE 10L สีขาว</t>
  </si>
  <si>
    <t>SMALL TALK DX-5</t>
  </si>
  <si>
    <t>ถ่านAlk Kodak MAX Alk AA 30422698 PK20=</t>
  </si>
  <si>
    <t>ถ้วยกรวยกระดาษ 4ออนซ์ GREEN SAFE/FRESH</t>
  </si>
  <si>
    <t>บริษัท โอเอซิส เมทเทค จำกัด (สำนักงานใหญ่)</t>
  </si>
  <si>
    <t>บริษัท โฮม โปรดักส์ เซ็นเตอร์ จำกัด (มหาชน) สาขาแหลมฉบัง สาขาที่ 00168</t>
  </si>
  <si>
    <t>สเปรย์ทำความสะอาดจอ Perfects LCD/TFT 100ML.</t>
  </si>
  <si>
    <t>ไมค์คล้องหู NTS HS-21F ปลั๊ก TR ไมค์คาดศรีษะ</t>
  </si>
  <si>
    <t>น้ำหอมรีฟิล เพื่อลดกลิ่นสี กลิ่นท่อห้องน้ำ และกลิ่นไม่พึงประสงค์ภายในอาคาร</t>
  </si>
  <si>
    <t>เพื่อป้องกันนกมาทำรังบริเวณรอบอาคาร</t>
  </si>
  <si>
    <t>ทดแทนของเดิมที่ชำรุด</t>
  </si>
  <si>
    <t xml:space="preserve">ทดแทนของเดิมที่ชำรุด และลดการส่งกลิ่นอับในห้องน้ำ จึงจำเป็นต้องใช้
แบบฝาปิด </t>
  </si>
  <si>
    <t xml:space="preserve">น้ำหอม ปรับอากาศ แบบเสียบปลั๊ก เพื่อลดกลิ่นสี กลิ่นท่อห้องน้ำ </t>
  </si>
  <si>
    <t xml:space="preserve">ทดแทนของเดิมที่ชำรุด  </t>
  </si>
  <si>
    <t>ป้องกันนกมาทำรังบริเวณรอบอาคาร</t>
  </si>
  <si>
    <t>ใช้สำหรับอุปกรณ์เช็ดทำความสะอาดหน้าจออัตโนมัติในโซนนิทรรศการ</t>
  </si>
  <si>
    <t xml:space="preserve"> ใช้สำหรับกับรีโมททุกตัว และ ไมค์ อุปกรณ์อิเล็กทรอนิกส์</t>
  </si>
  <si>
    <t>ใช้สำหรับเช็ดทำความสะอาดหน้าจอ</t>
  </si>
  <si>
    <t xml:space="preserve">ใช้สำหรับบริการน้ำดื่มแก่ผู้เข้าชมนิทรรศการ </t>
  </si>
  <si>
    <t>หมายเหตุ:  รายการที่ 15 ถังขยะอัตโนมัติมีเซ็นเซอร์ สแตนเลสขนาด 15 ลิตร ยังไม่ได้ดำเนินการจัดซื้อในครั้งนี้ เนื่องจากเป็นครุภัณฑ์สำนักงาน</t>
  </si>
  <si>
    <t xml:space="preserve">                        กุมภาพันธ์   2569</t>
  </si>
  <si>
    <t xml:space="preserve"> (นางสาวปราณปริยา  วงค์ษา)</t>
  </si>
  <si>
    <t xml:space="preserve">                     (นางสาววรรณวีร์ ศิลโรจน์)</t>
  </si>
  <si>
    <t>ลงชื่อ...................................................................... ผอ.สบร.</t>
  </si>
  <si>
    <t xml:space="preserve">            ลงชื่อ......................................................ผอ.สจอ.</t>
  </si>
  <si>
    <t xml:space="preserve">            เพื่อโปรดพิจารณา</t>
  </si>
  <si>
    <t>อนุมัติและลงนามแล้ว</t>
  </si>
  <si>
    <t>5)</t>
  </si>
  <si>
    <t>4) เรียน ผอ.สบร.</t>
  </si>
  <si>
    <t xml:space="preserve">(นางสุภาณี  บุ้งทอง) </t>
  </si>
  <si>
    <t>หน.ฝกค.-2</t>
  </si>
  <si>
    <t>ลงชื่อ</t>
  </si>
  <si>
    <t>อื่น............</t>
  </si>
  <si>
    <r>
      <t>เสนอ ผู้อำนวยการ สทอภ.</t>
    </r>
    <r>
      <rPr>
        <sz val="16"/>
        <color indexed="8"/>
        <rFont val="TH Sarabun New"/>
        <family val="2"/>
      </rPr>
      <t xml:space="preserve"> กำกับดูแลสำนัก/สถาบัน</t>
    </r>
  </si>
  <si>
    <r>
      <rPr>
        <b/>
        <sz val="16"/>
        <rFont val="TH Sarabun New"/>
        <family val="2"/>
      </rPr>
      <t>เสนอ รก.ผสทอภ.หรือ รอง ผสทอภ.</t>
    </r>
    <r>
      <rPr>
        <sz val="16"/>
        <rFont val="TH Sarabun New"/>
        <family val="2"/>
      </rPr>
      <t>คนใดคนหนึ่งไม่อยู่ หรือไม่อาจปฏิบัติงานได้</t>
    </r>
  </si>
  <si>
    <t xml:space="preserve">ให้ปฏิบัติงานแทน ผสทอภ. ในวงเงินไม่ 10 ล้านบาท </t>
  </si>
  <si>
    <r>
      <rPr>
        <b/>
        <sz val="16"/>
        <rFont val="TH Sarabun New"/>
        <family val="2"/>
      </rPr>
      <t>เสนอ รองผู้อำนวยการ สทอภ.</t>
    </r>
    <r>
      <rPr>
        <sz val="16"/>
        <rFont val="TH Sarabun New"/>
        <family val="2"/>
      </rPr>
      <t>ที่กำกับดูแลสำนัก/สถาบัน มีอำนาจอนุมัติ เฉพาะในส่วนของสำนัก/สถาบันที่ได้มอบอำนาจ</t>
    </r>
  </si>
  <si>
    <t>ให้ปฏิบัติงานแทน ผสทอภ. ในวงเงินไม่ 1 ล้านบาท  (เฉพาะค่าใช้จ่าย)</t>
  </si>
  <si>
    <t xml:space="preserve"> </t>
  </si>
  <si>
    <r>
      <rPr>
        <b/>
        <sz val="16"/>
        <rFont val="TH Sarabun New"/>
        <family val="2"/>
      </rPr>
      <t>เสนอ ผู้อำนวยการสำนัก</t>
    </r>
    <r>
      <rPr>
        <sz val="16"/>
        <rFont val="TH Sarabun New"/>
        <family val="2"/>
      </rPr>
      <t xml:space="preserve"> ที่กำกับดูแลสำนัก/สถาบัน มีอำนาจอนุมัติ เฉพาะในส่วนของสำนัก/สถาบันที่ได้มอบอำนาจ</t>
    </r>
  </si>
  <si>
    <t>รายการ/วัตถุประสงค์ในสัญญายืมเงินเท่านั้น</t>
  </si>
  <si>
    <t>ข้อ 43 เป็นไปตามที่ระบุใน</t>
  </si>
  <si>
    <t>เดินทางในประเทศ                       เดินทางต่างประเทศ                 อื่นๆ</t>
  </si>
  <si>
    <t>ข้อบังคับ สทอภ.ว่าด้วยการเงิน การบัญชี และงบประมาณ พ.ศ. 2553 ข้อ 42                      การจัดซื้อ/จ้างวัสดุ</t>
  </si>
  <si>
    <t>ให้แก่.....................................................................พร้อมทั้งขออนุมัติค่าใช้จ่ายในส่วนเกินตามระเบียบฯ</t>
  </si>
  <si>
    <t xml:space="preserve">จ่ายเพิ่มเงินยืม จำนวน.................................บาท (.....................................................) </t>
  </si>
  <si>
    <t>รับคืนเพิ่ม จำนวน........................บาท (............................................................) เข้าบัญชี สทอภ.</t>
  </si>
  <si>
    <t xml:space="preserve"> ส่งคืนหรือจ่ายเพิ่ม</t>
  </si>
  <si>
    <t xml:space="preserve"> ฝกค.-2  ได้ตรวจสอบงบประมาณและเอกสารเรียบร้อยแล้ว มีค่าใช้จ่ายตามระเบียบฯ จำนวน.....................................บาท มีรายการต้องปรับปรุงหรือแก้ไขหลังจาก</t>
  </si>
  <si>
    <t>3) เรียน  ผอ. สจอ.</t>
  </si>
  <si>
    <t xml:space="preserve"> - 2 -</t>
  </si>
  <si>
    <t xml:space="preserve">   กุมภาพันธ์  2569 </t>
  </si>
  <si>
    <t xml:space="preserve">(น.ส.จุฑามาศ  งามเสงี่ยม  ) </t>
  </si>
  <si>
    <t>รก.หน.ฝพด.-2</t>
  </si>
  <si>
    <t>จำนวน....................................บาท</t>
  </si>
  <si>
    <t xml:space="preserve">การจัดซื้อจัดจ้างฯ  พ.ศ. 2560  ข้อ 79 วรรคสอง และกฎกระทรวงกำหนดวงเงินการจัดซื้อจัดจ้างโดยวิธีเฉพาะเจาะจงฯ ข้อ 4  โดยมีค่าใช้จ่ายตามระเบียบพัสดุ </t>
  </si>
  <si>
    <t>- ฝพด.-2 ได้ตรวจสอบหลักฐานการจ่ายเงินเรียบร้อยแล้ว เป็นไปตาม พรบ.จัดซื้อจัดจ้างฯ พ.ศ. 2560 มาตรา56 (2)(ข) ระเบียบกระทรวงการคลังว่าด้วย</t>
  </si>
  <si>
    <t>2. เรียน  หน.ฝคบ.</t>
  </si>
  <si>
    <t xml:space="preserve">     กุมภาพันธ์   2569 </t>
  </si>
  <si>
    <t xml:space="preserve">(นางสาวจันทิมา   อัศวโชคชัย ) </t>
  </si>
  <si>
    <t>ฉบับ</t>
  </si>
  <si>
    <t>จึงเรียนมาเพื่อโปรดพิจารณาอนุมัติ การขอส่งใช้เงินยืม ทั้งนี้ได้แนบเอกสารประกอบการขอส่งใช้เงินยืมเงินจำนวน</t>
  </si>
  <si>
    <t>โครงการ</t>
  </si>
  <si>
    <t>หน่วยงาน</t>
  </si>
  <si>
    <t>แหล่งเงิน</t>
  </si>
  <si>
    <t>รหัสงบประมาณ</t>
  </si>
  <si>
    <t>รูปแบบจำลอง</t>
  </si>
  <si>
    <t>ขออนุมัติ</t>
  </si>
  <si>
    <t>ข้อมูลเพื่อการใช้งบประมาณ/รายได้</t>
  </si>
  <si>
    <t>(กำไร)  ขาดทุนจากอัตราแลกเปลี่ยน จำนวน</t>
  </si>
  <si>
    <t>พร้อมทั้งขออนุมัติค่าใช้จ่ายในส่วนเกินตามระเบียบฯ</t>
  </si>
  <si>
    <t>ให้แก่</t>
  </si>
  <si>
    <t>จ่ายเพิ่มเงินยืมจำนวน</t>
  </si>
  <si>
    <t>เข้าบัญชี สทอภ.</t>
  </si>
  <si>
    <t>รับคืน</t>
  </si>
  <si>
    <t>บัดนี้  ภารกิจเสร็จสิ้นแล้วมีค่าใช้จ่ายรวมเป็นเงินจำนวน</t>
  </si>
  <si>
    <t>จำนวนเงินยืม</t>
  </si>
  <si>
    <t xml:space="preserve"> - </t>
  </si>
  <si>
    <t>สาเหตุส่งใช้เงินยืมจำนวนมาก</t>
  </si>
  <si>
    <t>สาเหตุส่งคืนเงินยืมล่าช้า</t>
  </si>
  <si>
    <t>วัน</t>
  </si>
  <si>
    <t>เกินระยะเวลาส่งคืนจำนวน</t>
  </si>
  <si>
    <t>โดยครบกำหนดวัน</t>
  </si>
  <si>
    <t>วันทำการ</t>
  </si>
  <si>
    <t>ขยายเวลาเพิ่ม</t>
  </si>
  <si>
    <t xml:space="preserve">เกินระยะเวลาส่งคืนจำนวน </t>
  </si>
  <si>
    <t>วันที่ส่งคืน</t>
  </si>
  <si>
    <t>วันที่ครบกำหนดส่งคืน</t>
  </si>
  <si>
    <t xml:space="preserve">12 กุมภาพันธ์ 2569 </t>
  </si>
  <si>
    <t>วันที่รับเงินยืม</t>
  </si>
  <si>
    <t>69G2PA030</t>
  </si>
  <si>
    <t>สัญญายืมเงินเลขที่</t>
  </si>
  <si>
    <t xml:space="preserve">ขอส่งใช้เงินยืมค่าใช้จ่ายในการจัดซื้อวัสดุอุปกรณ์ในการสนับสนุนการดำเนินการเปิดให้บริการ Space Inspirium   
</t>
  </si>
  <si>
    <t>วัตถุประสงค์</t>
  </si>
  <si>
    <t>093 555 8924</t>
  </si>
  <si>
    <t xml:space="preserve">โทรศัพท์ </t>
  </si>
  <si>
    <t>สบร.</t>
  </si>
  <si>
    <t>สังกัด</t>
  </si>
  <si>
    <t>นักวิชาการฝึกอบรม</t>
  </si>
  <si>
    <t>ตำแหน่ง</t>
  </si>
  <si>
    <t xml:space="preserve">นายณัฐดนัย  ธรรมสิทธิ์ </t>
  </si>
  <si>
    <t>เจ้าหน้าที่ผู้ขอส่งใช้เงินยืม</t>
  </si>
  <si>
    <t xml:space="preserve">1 เรียน  ผอ.สบร.    ผ่าน ผอ.สจอ.     ผ่าน     หน.ฝกค.-2    ผ่าน    หน.ฝพด.-2     </t>
  </si>
  <si>
    <t xml:space="preserve">    </t>
  </si>
  <si>
    <t xml:space="preserve">                     แบบฟอร์มขอส่งใช้เงินยืมค่าใช้จ่ายภายในสำนักงาน การฝึกอบรม การจัดงานและการประชุม </t>
  </si>
  <si>
    <t>FD.03</t>
  </si>
  <si>
    <t xml:space="preserve">           สำนักงานพัฒนาเทคโนโลยีอวกาศและภูมิสารสนเทศ (องค์การมหาชน)</t>
  </si>
  <si>
    <t xml:space="preserve">วันที่        19    กุมภาพันธ์   2569 </t>
  </si>
  <si>
    <t>รายการ</t>
  </si>
  <si>
    <t>จำนวน</t>
  </si>
  <si>
    <t xml:space="preserve">ยอดเงินยืม สทอภ. </t>
  </si>
  <si>
    <t xml:space="preserve"> 69G2PA022</t>
  </si>
  <si>
    <t>หักภาษี ณ ที่จ่าย (จะกรอกต่อเมื่อ มีการหักภาษี ณ ที่จ่าย จากสัญญายืมเงิน 
ตั้งแต่ได้รับเงินยืม)</t>
  </si>
  <si>
    <t>ยอดเงินสุทธิ (1-2)</t>
  </si>
  <si>
    <t>ค่าใช้จ่ายทั้งหมด</t>
  </si>
  <si>
    <t>เงินยืม หัก ยอดค่าใช้จ่าย  (1-4)</t>
  </si>
  <si>
    <t xml:space="preserve">กำไร/ขาดทุนจากอัตราแลกเปลี่ยน </t>
  </si>
  <si>
    <t xml:space="preserve">หมายเหตุ </t>
  </si>
  <si>
    <t>692203, 692120103_6917-69044_ค่าใช้สอยอื่นๆ</t>
  </si>
  <si>
    <t>หน.ฝสร.</t>
  </si>
  <si>
    <r>
      <t>คงเหลือเงินคืน สทอภ.</t>
    </r>
    <r>
      <rPr>
        <b/>
        <sz val="24"/>
        <color theme="1"/>
        <rFont val="TH Sarabun New"/>
        <family val="2"/>
      </rPr>
      <t xml:space="preserve">   (5-6)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</si>
</sst>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-* #,##0_-;\-* #,##0_-;_-* &quot;-&quot;??_-;_-@_-"/>
    <numFmt numFmtId="189" formatCode="_-* #,##0.00_-;\-* #,##0.00_-;_-* &quot;-&quot;??_-;_-@"/>
  </numFmts>
  <fonts count="31" x14ac:knownFonts="1">
    <font>
      <sz val="11"/>
      <color theme="1"/>
      <name val="Tahoma"/>
      <family val="2"/>
      <charset val="222"/>
      <scheme val="minor"/>
    </font>
    <font>
      <sz val="14"/>
      <color rgb="FF000000"/>
      <name val="Cordia New"/>
      <family val="2"/>
    </font>
    <font>
      <sz val="16"/>
      <color theme="1"/>
      <name val="TH SarabunPSK"/>
      <family val="2"/>
      <charset val="22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b/>
      <sz val="24"/>
      <name val="TH Sarabun New"/>
      <family val="2"/>
    </font>
    <font>
      <strike/>
      <sz val="24"/>
      <color theme="1"/>
      <name val="TH Sarabun New"/>
      <family val="2"/>
    </font>
    <font>
      <sz val="24"/>
      <color theme="1"/>
      <name val="TH Sarabun New"/>
      <family val="2"/>
    </font>
    <font>
      <b/>
      <sz val="24"/>
      <color theme="1"/>
      <name val="TH Sarabun New"/>
      <family val="2"/>
    </font>
    <font>
      <sz val="24"/>
      <color rgb="FFFF0000"/>
      <name val="TH Sarabun New"/>
      <family val="2"/>
    </font>
    <font>
      <b/>
      <sz val="24"/>
      <color rgb="FF000000"/>
      <name val="TH Sarabun New"/>
      <family val="2"/>
    </font>
    <font>
      <sz val="24"/>
      <name val="TH Sarabun New"/>
      <family val="2"/>
    </font>
    <font>
      <sz val="24"/>
      <color rgb="FF000000"/>
      <name val="TH Sarabun New"/>
      <family val="2"/>
    </font>
    <font>
      <b/>
      <sz val="28"/>
      <color theme="1"/>
      <name val="TH Sarabun New"/>
      <family val="2"/>
    </font>
    <font>
      <b/>
      <sz val="25"/>
      <name val="TH Sarabun New"/>
      <family val="2"/>
    </font>
    <font>
      <sz val="25"/>
      <name val="TH Sarabun New"/>
      <family val="2"/>
    </font>
    <font>
      <sz val="25"/>
      <color rgb="FF000000"/>
      <name val="TH Sarabun New"/>
      <family val="2"/>
    </font>
    <font>
      <b/>
      <sz val="20"/>
      <color theme="1"/>
      <name val="TH Sarabun New"/>
      <family val="2"/>
    </font>
    <font>
      <sz val="16"/>
      <color rgb="FF000000"/>
      <name val="TH Sarabun New"/>
      <family val="2"/>
    </font>
    <font>
      <sz val="16"/>
      <name val="TH Sarabun New"/>
      <family val="2"/>
    </font>
    <font>
      <b/>
      <sz val="16"/>
      <name val="TH Sarabun New"/>
      <family val="2"/>
    </font>
    <font>
      <sz val="16"/>
      <color indexed="8"/>
      <name val="TH Sarabun New"/>
      <family val="2"/>
    </font>
    <font>
      <b/>
      <sz val="16"/>
      <color indexed="8"/>
      <name val="TH Sarabun New"/>
      <family val="2"/>
    </font>
    <font>
      <sz val="16"/>
      <color rgb="FFFF0000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b/>
      <sz val="16"/>
      <color rgb="FF000000"/>
      <name val="TH Sarabun New"/>
      <family val="2"/>
    </font>
    <font>
      <b/>
      <u/>
      <sz val="24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1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6" fillId="0" borderId="0"/>
    <xf numFmtId="187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64">
    <xf numFmtId="0" fontId="0" fillId="0" borderId="0" xfId="0"/>
    <xf numFmtId="0" fontId="8" fillId="0" borderId="0" xfId="5" applyFont="1" applyAlignment="1">
      <alignment vertical="top"/>
    </xf>
    <xf numFmtId="0" fontId="11" fillId="0" borderId="0" xfId="5" applyFont="1" applyAlignment="1">
      <alignment horizontal="center" vertical="top" wrapText="1"/>
    </xf>
    <xf numFmtId="0" fontId="13" fillId="0" borderId="1" xfId="1" applyFont="1" applyBorder="1" applyAlignment="1">
      <alignment horizontal="left" vertical="top"/>
    </xf>
    <xf numFmtId="0" fontId="13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2" borderId="0" xfId="9" applyFont="1" applyFill="1" applyAlignment="1">
      <alignment horizontal="right" vertical="top"/>
    </xf>
    <xf numFmtId="43" fontId="10" fillId="2" borderId="0" xfId="13" applyFont="1" applyFill="1" applyBorder="1" applyAlignment="1">
      <alignment vertical="top"/>
    </xf>
    <xf numFmtId="0" fontId="9" fillId="2" borderId="7" xfId="5" applyFont="1" applyFill="1" applyBorder="1" applyAlignment="1">
      <alignment horizontal="left" vertical="top"/>
    </xf>
    <xf numFmtId="0" fontId="9" fillId="0" borderId="8" xfId="1" applyFont="1" applyBorder="1" applyAlignment="1">
      <alignment vertical="top" wrapText="1"/>
    </xf>
    <xf numFmtId="0" fontId="9" fillId="0" borderId="0" xfId="5" applyFont="1" applyAlignment="1">
      <alignment vertical="top"/>
    </xf>
    <xf numFmtId="0" fontId="9" fillId="0" borderId="8" xfId="0" applyFont="1" applyBorder="1" applyAlignment="1">
      <alignment vertical="top"/>
    </xf>
    <xf numFmtId="0" fontId="9" fillId="0" borderId="6" xfId="0" applyFont="1" applyBorder="1" applyAlignment="1">
      <alignment vertical="top" wrapText="1"/>
    </xf>
    <xf numFmtId="0" fontId="9" fillId="0" borderId="0" xfId="9" applyFont="1" applyAlignment="1">
      <alignment horizontal="right" vertical="top"/>
    </xf>
    <xf numFmtId="43" fontId="9" fillId="0" borderId="0" xfId="13" applyFont="1" applyAlignment="1">
      <alignment horizontal="right" vertical="top" wrapText="1"/>
    </xf>
    <xf numFmtId="0" fontId="9" fillId="0" borderId="0" xfId="9" applyFont="1" applyAlignment="1">
      <alignment vertical="top"/>
    </xf>
    <xf numFmtId="0" fontId="9" fillId="0" borderId="0" xfId="0" applyFont="1" applyAlignment="1">
      <alignment horizontal="left" vertical="top" wrapText="1"/>
    </xf>
    <xf numFmtId="0" fontId="9" fillId="0" borderId="0" xfId="1" applyFont="1" applyAlignment="1">
      <alignment horizontal="center" vertical="top"/>
    </xf>
    <xf numFmtId="43" fontId="10" fillId="0" borderId="0" xfId="13" applyFont="1" applyBorder="1" applyAlignment="1">
      <alignment vertical="top"/>
    </xf>
    <xf numFmtId="0" fontId="9" fillId="0" borderId="7" xfId="5" applyFont="1" applyBorder="1" applyAlignment="1">
      <alignment horizontal="left" vertical="top"/>
    </xf>
    <xf numFmtId="43" fontId="10" fillId="0" borderId="6" xfId="1" applyNumberFormat="1" applyFont="1" applyBorder="1" applyAlignment="1">
      <alignment horizontal="center" vertical="top" wrapText="1"/>
    </xf>
    <xf numFmtId="43" fontId="10" fillId="0" borderId="0" xfId="1" applyNumberFormat="1" applyFont="1" applyAlignment="1">
      <alignment horizontal="center" vertical="top" wrapText="1"/>
    </xf>
    <xf numFmtId="43" fontId="10" fillId="0" borderId="7" xfId="1" applyNumberFormat="1" applyFont="1" applyBorder="1" applyAlignment="1">
      <alignment horizontal="center" vertical="top" wrapText="1"/>
    </xf>
    <xf numFmtId="0" fontId="9" fillId="0" borderId="11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0" fontId="9" fillId="0" borderId="3" xfId="5" applyFont="1" applyBorder="1" applyAlignment="1">
      <alignment vertical="top"/>
    </xf>
    <xf numFmtId="0" fontId="9" fillId="0" borderId="3" xfId="9" applyFont="1" applyBorder="1" applyAlignment="1">
      <alignment horizontal="right" vertical="top"/>
    </xf>
    <xf numFmtId="43" fontId="9" fillId="0" borderId="3" xfId="13" applyFont="1" applyBorder="1" applyAlignment="1">
      <alignment horizontal="right" vertical="top" wrapText="1"/>
    </xf>
    <xf numFmtId="0" fontId="9" fillId="0" borderId="3" xfId="9" applyFont="1" applyBorder="1" applyAlignment="1">
      <alignment vertical="top"/>
    </xf>
    <xf numFmtId="0" fontId="9" fillId="0" borderId="3" xfId="0" applyFont="1" applyBorder="1" applyAlignment="1">
      <alignment horizontal="left" vertical="top" wrapText="1"/>
    </xf>
    <xf numFmtId="0" fontId="9" fillId="0" borderId="3" xfId="1" applyFont="1" applyBorder="1" applyAlignment="1">
      <alignment horizontal="center" vertical="top"/>
    </xf>
    <xf numFmtId="43" fontId="10" fillId="0" borderId="3" xfId="13" applyFont="1" applyBorder="1" applyAlignment="1">
      <alignment vertical="top"/>
    </xf>
    <xf numFmtId="0" fontId="9" fillId="0" borderId="4" xfId="5" applyFont="1" applyBorder="1" applyAlignment="1">
      <alignment horizontal="left" vertical="top"/>
    </xf>
    <xf numFmtId="43" fontId="10" fillId="0" borderId="2" xfId="1" applyNumberFormat="1" applyFont="1" applyBorder="1" applyAlignment="1">
      <alignment horizontal="center" vertical="top" wrapText="1"/>
    </xf>
    <xf numFmtId="43" fontId="10" fillId="0" borderId="3" xfId="1" applyNumberFormat="1" applyFont="1" applyBorder="1" applyAlignment="1">
      <alignment horizontal="center" vertical="top" wrapText="1"/>
    </xf>
    <xf numFmtId="43" fontId="10" fillId="0" borderId="4" xfId="1" applyNumberFormat="1" applyFont="1" applyBorder="1" applyAlignment="1">
      <alignment horizontal="center" vertical="top" wrapText="1"/>
    </xf>
    <xf numFmtId="0" fontId="9" fillId="0" borderId="11" xfId="1" applyFont="1" applyBorder="1" applyAlignment="1">
      <alignment vertical="top" wrapText="1"/>
    </xf>
    <xf numFmtId="0" fontId="10" fillId="2" borderId="8" xfId="0" applyFont="1" applyFill="1" applyBorder="1" applyAlignment="1">
      <alignment horizontal="center" vertical="top"/>
    </xf>
    <xf numFmtId="0" fontId="9" fillId="2" borderId="0" xfId="9" applyFont="1" applyFill="1" applyAlignment="1">
      <alignment vertical="top"/>
    </xf>
    <xf numFmtId="0" fontId="9" fillId="2" borderId="0" xfId="0" applyFont="1" applyFill="1" applyAlignment="1">
      <alignment vertical="top" wrapText="1"/>
    </xf>
    <xf numFmtId="0" fontId="9" fillId="2" borderId="0" xfId="5" applyFont="1" applyFill="1" applyAlignment="1">
      <alignment vertical="top"/>
    </xf>
    <xf numFmtId="43" fontId="9" fillId="2" borderId="0" xfId="13" applyFont="1" applyFill="1" applyAlignment="1">
      <alignment horizontal="right" vertical="top" wrapText="1"/>
    </xf>
    <xf numFmtId="0" fontId="9" fillId="2" borderId="0" xfId="1" applyFont="1" applyFill="1" applyAlignment="1">
      <alignment horizontal="center" vertical="top"/>
    </xf>
    <xf numFmtId="0" fontId="9" fillId="0" borderId="0" xfId="0" applyFont="1" applyAlignment="1">
      <alignment vertical="top" wrapText="1"/>
    </xf>
    <xf numFmtId="0" fontId="9" fillId="0" borderId="3" xfId="0" applyFont="1" applyBorder="1" applyAlignment="1">
      <alignment vertical="top" wrapText="1"/>
    </xf>
    <xf numFmtId="43" fontId="9" fillId="2" borderId="0" xfId="13" applyFont="1" applyFill="1" applyBorder="1" applyAlignment="1">
      <alignment horizontal="right" vertical="top" wrapText="1"/>
    </xf>
    <xf numFmtId="0" fontId="9" fillId="2" borderId="12" xfId="0" applyFont="1" applyFill="1" applyBorder="1" applyAlignment="1">
      <alignment horizontal="center" vertical="top"/>
    </xf>
    <xf numFmtId="0" fontId="10" fillId="2" borderId="0" xfId="0" applyFont="1" applyFill="1" applyAlignment="1">
      <alignment vertical="top" wrapText="1"/>
    </xf>
    <xf numFmtId="0" fontId="9" fillId="0" borderId="0" xfId="5" applyFont="1" applyAlignment="1">
      <alignment horizontal="left" vertical="top"/>
    </xf>
    <xf numFmtId="43" fontId="9" fillId="0" borderId="0" xfId="13" applyFont="1" applyBorder="1" applyAlignment="1">
      <alignment horizontal="right" vertical="top" wrapText="1"/>
    </xf>
    <xf numFmtId="0" fontId="10" fillId="2" borderId="12" xfId="0" applyFont="1" applyFill="1" applyBorder="1" applyAlignment="1">
      <alignment horizontal="center" vertical="top"/>
    </xf>
    <xf numFmtId="0" fontId="9" fillId="0" borderId="6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2" fontId="9" fillId="0" borderId="8" xfId="0" applyNumberFormat="1" applyFont="1" applyBorder="1" applyAlignment="1">
      <alignment vertical="top"/>
    </xf>
    <xf numFmtId="0" fontId="9" fillId="0" borderId="11" xfId="5" applyFont="1" applyBorder="1" applyAlignment="1">
      <alignment vertical="top"/>
    </xf>
    <xf numFmtId="0" fontId="10" fillId="0" borderId="3" xfId="5" applyFont="1" applyBorder="1" applyAlignment="1">
      <alignment vertical="top"/>
    </xf>
    <xf numFmtId="0" fontId="9" fillId="0" borderId="3" xfId="5" applyFont="1" applyBorder="1" applyAlignment="1">
      <alignment horizontal="left" vertical="top"/>
    </xf>
    <xf numFmtId="43" fontId="9" fillId="0" borderId="3" xfId="13" applyFont="1" applyBorder="1" applyAlignment="1">
      <alignment vertical="top"/>
    </xf>
    <xf numFmtId="0" fontId="9" fillId="2" borderId="0" xfId="0" applyFont="1" applyFill="1" applyAlignment="1">
      <alignment horizontal="left" vertical="top" wrapText="1"/>
    </xf>
    <xf numFmtId="0" fontId="9" fillId="0" borderId="7" xfId="5" applyFont="1" applyBorder="1" applyAlignment="1">
      <alignment vertical="top" wrapText="1"/>
    </xf>
    <xf numFmtId="0" fontId="9" fillId="0" borderId="0" xfId="1" applyFont="1" applyAlignment="1">
      <alignment vertical="top"/>
    </xf>
    <xf numFmtId="0" fontId="10" fillId="0" borderId="3" xfId="9" applyFont="1" applyBorder="1" applyAlignment="1">
      <alignment horizontal="right" vertical="top"/>
    </xf>
    <xf numFmtId="0" fontId="10" fillId="0" borderId="3" xfId="9" applyFont="1" applyBorder="1" applyAlignment="1">
      <alignment vertical="top"/>
    </xf>
    <xf numFmtId="0" fontId="10" fillId="2" borderId="5" xfId="5" applyFont="1" applyFill="1" applyBorder="1" applyAlignment="1">
      <alignment horizontal="center" vertical="top"/>
    </xf>
    <xf numFmtId="0" fontId="13" fillId="0" borderId="9" xfId="1" applyFont="1" applyBorder="1" applyAlignment="1">
      <alignment horizontal="center" vertical="top"/>
    </xf>
    <xf numFmtId="0" fontId="13" fillId="0" borderId="1" xfId="1" applyFont="1" applyBorder="1" applyAlignment="1">
      <alignment vertical="top" wrapText="1"/>
    </xf>
    <xf numFmtId="0" fontId="13" fillId="0" borderId="1" xfId="1" applyFont="1" applyBorder="1" applyAlignment="1">
      <alignment vertical="top"/>
    </xf>
    <xf numFmtId="43" fontId="13" fillId="0" borderId="1" xfId="1" applyNumberFormat="1" applyFont="1" applyBorder="1" applyAlignment="1">
      <alignment vertical="top"/>
    </xf>
    <xf numFmtId="188" fontId="13" fillId="0" borderId="1" xfId="2" applyNumberFormat="1" applyFont="1" applyBorder="1" applyAlignment="1">
      <alignment vertical="top"/>
    </xf>
    <xf numFmtId="0" fontId="13" fillId="0" borderId="1" xfId="1" applyFont="1" applyBorder="1" applyAlignment="1">
      <alignment horizontal="center" vertical="top"/>
    </xf>
    <xf numFmtId="2" fontId="13" fillId="0" borderId="1" xfId="1" applyNumberFormat="1" applyFont="1" applyBorder="1" applyAlignment="1">
      <alignment vertical="top"/>
    </xf>
    <xf numFmtId="43" fontId="13" fillId="0" borderId="1" xfId="2" applyFont="1" applyBorder="1" applyAlignment="1">
      <alignment horizontal="left" vertical="top"/>
    </xf>
    <xf numFmtId="43" fontId="13" fillId="0" borderId="1" xfId="1" applyNumberFormat="1" applyFont="1" applyBorder="1" applyAlignment="1">
      <alignment horizontal="center" vertical="top"/>
    </xf>
    <xf numFmtId="0" fontId="13" fillId="0" borderId="10" xfId="1" applyFont="1" applyBorder="1" applyAlignment="1">
      <alignment vertical="top" wrapText="1"/>
    </xf>
    <xf numFmtId="0" fontId="14" fillId="0" borderId="0" xfId="1" applyFont="1" applyAlignment="1">
      <alignment vertical="top"/>
    </xf>
    <xf numFmtId="0" fontId="13" fillId="0" borderId="0" xfId="1" applyFont="1" applyAlignment="1">
      <alignment horizontal="center" vertical="top"/>
    </xf>
    <xf numFmtId="0" fontId="13" fillId="0" borderId="0" xfId="1" applyFont="1" applyAlignment="1">
      <alignment vertical="top" wrapText="1"/>
    </xf>
    <xf numFmtId="0" fontId="13" fillId="0" borderId="0" xfId="1" applyFont="1" applyAlignment="1">
      <alignment vertical="top"/>
    </xf>
    <xf numFmtId="43" fontId="13" fillId="0" borderId="0" xfId="1" applyNumberFormat="1" applyFont="1" applyAlignment="1">
      <alignment vertical="top"/>
    </xf>
    <xf numFmtId="188" fontId="13" fillId="0" borderId="0" xfId="2" applyNumberFormat="1" applyFont="1" applyBorder="1" applyAlignment="1">
      <alignment vertical="top"/>
    </xf>
    <xf numFmtId="2" fontId="13" fillId="0" borderId="0" xfId="1" applyNumberFormat="1" applyFont="1" applyAlignment="1">
      <alignment vertical="top"/>
    </xf>
    <xf numFmtId="43" fontId="13" fillId="0" borderId="0" xfId="2" applyFont="1" applyBorder="1" applyAlignment="1">
      <alignment horizontal="left" vertical="top"/>
    </xf>
    <xf numFmtId="43" fontId="13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4" fillId="0" borderId="0" xfId="1" applyFont="1" applyAlignment="1">
      <alignment vertical="top" wrapText="1"/>
    </xf>
    <xf numFmtId="43" fontId="14" fillId="0" borderId="0" xfId="1" applyNumberFormat="1" applyFont="1" applyAlignment="1">
      <alignment vertical="top"/>
    </xf>
    <xf numFmtId="188" fontId="14" fillId="0" borderId="0" xfId="2" applyNumberFormat="1" applyFont="1" applyBorder="1" applyAlignment="1">
      <alignment vertical="top"/>
    </xf>
    <xf numFmtId="2" fontId="14" fillId="0" borderId="0" xfId="1" applyNumberFormat="1" applyFont="1" applyAlignment="1">
      <alignment vertical="top"/>
    </xf>
    <xf numFmtId="43" fontId="14" fillId="0" borderId="0" xfId="2" applyFont="1" applyBorder="1" applyAlignment="1">
      <alignment horizontal="left" vertical="top"/>
    </xf>
    <xf numFmtId="43" fontId="14" fillId="0" borderId="0" xfId="1" applyNumberFormat="1" applyFont="1" applyAlignment="1">
      <alignment horizontal="center" vertical="top"/>
    </xf>
    <xf numFmtId="0" fontId="10" fillId="2" borderId="9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188" fontId="9" fillId="0" borderId="0" xfId="13" applyNumberFormat="1" applyFont="1" applyAlignment="1">
      <alignment horizontal="right" vertical="top" wrapText="1"/>
    </xf>
    <xf numFmtId="188" fontId="9" fillId="0" borderId="3" xfId="13" applyNumberFormat="1" applyFont="1" applyBorder="1" applyAlignment="1">
      <alignment horizontal="right" vertical="top" wrapText="1"/>
    </xf>
    <xf numFmtId="188" fontId="9" fillId="2" borderId="0" xfId="13" applyNumberFormat="1" applyFont="1" applyFill="1" applyAlignment="1">
      <alignment horizontal="right" vertical="top" wrapText="1"/>
    </xf>
    <xf numFmtId="188" fontId="10" fillId="0" borderId="3" xfId="13" applyNumberFormat="1" applyFont="1" applyBorder="1" applyAlignment="1">
      <alignment vertical="top"/>
    </xf>
    <xf numFmtId="188" fontId="10" fillId="0" borderId="3" xfId="13" applyNumberFormat="1" applyFont="1" applyBorder="1" applyAlignment="1">
      <alignment horizontal="right" vertical="top" wrapText="1"/>
    </xf>
    <xf numFmtId="188" fontId="13" fillId="0" borderId="1" xfId="13" applyNumberFormat="1" applyFont="1" applyBorder="1" applyAlignment="1">
      <alignment vertical="top"/>
    </xf>
    <xf numFmtId="188" fontId="13" fillId="0" borderId="0" xfId="13" applyNumberFormat="1" applyFont="1" applyAlignment="1">
      <alignment vertical="top"/>
    </xf>
    <xf numFmtId="188" fontId="14" fillId="0" borderId="0" xfId="13" applyNumberFormat="1" applyFont="1" applyAlignment="1">
      <alignment vertical="top"/>
    </xf>
    <xf numFmtId="0" fontId="9" fillId="0" borderId="11" xfId="1" applyFont="1" applyBorder="1" applyAlignment="1">
      <alignment horizontal="left" vertical="top" wrapText="1"/>
    </xf>
    <xf numFmtId="0" fontId="10" fillId="2" borderId="8" xfId="5" applyFont="1" applyFill="1" applyBorder="1" applyAlignment="1">
      <alignment horizontal="center" vertical="top"/>
    </xf>
    <xf numFmtId="0" fontId="15" fillId="2" borderId="15" xfId="5" applyFont="1" applyFill="1" applyBorder="1" applyAlignment="1">
      <alignment horizontal="center" vertical="top" wrapText="1"/>
    </xf>
    <xf numFmtId="0" fontId="16" fillId="0" borderId="0" xfId="1" applyFont="1" applyAlignment="1">
      <alignment vertical="top"/>
    </xf>
    <xf numFmtId="0" fontId="17" fillId="0" borderId="0" xfId="1" applyFont="1" applyAlignment="1">
      <alignment vertical="top"/>
    </xf>
    <xf numFmtId="188" fontId="17" fillId="0" borderId="0" xfId="1" applyNumberFormat="1" applyFont="1" applyAlignment="1">
      <alignment vertical="top"/>
    </xf>
    <xf numFmtId="0" fontId="17" fillId="0" borderId="0" xfId="1" applyFont="1" applyAlignment="1">
      <alignment vertical="top" wrapText="1"/>
    </xf>
    <xf numFmtId="0" fontId="18" fillId="0" borderId="0" xfId="1" applyFont="1" applyAlignment="1">
      <alignment vertical="top"/>
    </xf>
    <xf numFmtId="0" fontId="19" fillId="2" borderId="13" xfId="5" applyFont="1" applyFill="1" applyBorder="1" applyAlignment="1">
      <alignment horizontal="center" vertical="top" wrapText="1"/>
    </xf>
    <xf numFmtId="0" fontId="9" fillId="0" borderId="8" xfId="1" applyFont="1" applyBorder="1" applyAlignment="1">
      <alignment horizontal="left" vertical="top" wrapText="1"/>
    </xf>
    <xf numFmtId="0" fontId="9" fillId="0" borderId="11" xfId="1" applyFont="1" applyBorder="1" applyAlignment="1">
      <alignment horizontal="left" vertical="top" wrapText="1"/>
    </xf>
    <xf numFmtId="0" fontId="9" fillId="0" borderId="8" xfId="1" applyFont="1" applyBorder="1" applyAlignment="1">
      <alignment horizontal="left" vertical="center" wrapText="1"/>
    </xf>
    <xf numFmtId="0" fontId="9" fillId="0" borderId="11" xfId="1" applyFont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43" fontId="12" fillId="2" borderId="5" xfId="13" applyFont="1" applyFill="1" applyBorder="1" applyAlignment="1">
      <alignment horizontal="center" vertical="top"/>
    </xf>
    <xf numFmtId="0" fontId="10" fillId="2" borderId="16" xfId="5" applyFont="1" applyFill="1" applyBorder="1" applyAlignment="1">
      <alignment horizontal="center" vertical="top"/>
    </xf>
    <xf numFmtId="0" fontId="10" fillId="2" borderId="17" xfId="5" applyFont="1" applyFill="1" applyBorder="1" applyAlignment="1">
      <alignment horizontal="center" vertical="top"/>
    </xf>
    <xf numFmtId="0" fontId="10" fillId="2" borderId="18" xfId="5" applyFont="1" applyFill="1" applyBorder="1" applyAlignment="1">
      <alignment horizontal="center" vertical="top"/>
    </xf>
    <xf numFmtId="43" fontId="10" fillId="0" borderId="6" xfId="13" applyFont="1" applyBorder="1" applyAlignment="1">
      <alignment horizontal="right" vertical="top" wrapText="1"/>
    </xf>
    <xf numFmtId="43" fontId="10" fillId="0" borderId="0" xfId="13" applyFont="1" applyBorder="1" applyAlignment="1">
      <alignment horizontal="right" vertical="top" wrapText="1"/>
    </xf>
    <xf numFmtId="43" fontId="10" fillId="0" borderId="7" xfId="13" applyFont="1" applyBorder="1" applyAlignment="1">
      <alignment horizontal="right" vertical="top" wrapText="1"/>
    </xf>
    <xf numFmtId="0" fontId="7" fillId="0" borderId="0" xfId="5" applyFont="1" applyAlignment="1">
      <alignment horizontal="center" vertical="top"/>
    </xf>
    <xf numFmtId="0" fontId="7" fillId="0" borderId="0" xfId="1" applyFont="1" applyAlignment="1">
      <alignment horizontal="center" vertical="top" wrapText="1"/>
    </xf>
    <xf numFmtId="0" fontId="10" fillId="0" borderId="0" xfId="1" applyFont="1" applyAlignment="1">
      <alignment horizontal="center" vertical="top" wrapText="1"/>
    </xf>
    <xf numFmtId="0" fontId="15" fillId="2" borderId="14" xfId="5" applyFont="1" applyFill="1" applyBorder="1" applyAlignment="1">
      <alignment horizontal="center" vertical="top" wrapText="1"/>
    </xf>
    <xf numFmtId="43" fontId="15" fillId="2" borderId="14" xfId="7" applyFont="1" applyFill="1" applyBorder="1" applyAlignment="1">
      <alignment horizontal="center" vertical="top" wrapText="1"/>
    </xf>
    <xf numFmtId="0" fontId="10" fillId="2" borderId="6" xfId="5" applyFont="1" applyFill="1" applyBorder="1" applyAlignment="1">
      <alignment horizontal="left" vertical="top" wrapText="1"/>
    </xf>
    <xf numFmtId="0" fontId="10" fillId="2" borderId="0" xfId="5" applyFont="1" applyFill="1" applyAlignment="1">
      <alignment horizontal="left" vertical="top" wrapText="1"/>
    </xf>
    <xf numFmtId="0" fontId="10" fillId="2" borderId="9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10" fillId="0" borderId="2" xfId="5" applyFont="1" applyBorder="1" applyAlignment="1">
      <alignment horizontal="center" vertical="top"/>
    </xf>
    <xf numFmtId="0" fontId="10" fillId="0" borderId="3" xfId="5" applyFont="1" applyBorder="1" applyAlignment="1">
      <alignment horizontal="center" vertical="top"/>
    </xf>
    <xf numFmtId="43" fontId="10" fillId="0" borderId="9" xfId="1" applyNumberFormat="1" applyFont="1" applyBorder="1" applyAlignment="1">
      <alignment horizontal="center" vertical="top" wrapText="1"/>
    </xf>
    <xf numFmtId="43" fontId="10" fillId="0" borderId="1" xfId="1" applyNumberFormat="1" applyFont="1" applyBorder="1" applyAlignment="1">
      <alignment horizontal="center" vertical="top" wrapText="1"/>
    </xf>
    <xf numFmtId="43" fontId="10" fillId="0" borderId="10" xfId="1" applyNumberFormat="1" applyFont="1" applyBorder="1" applyAlignment="1">
      <alignment horizontal="center" vertical="top" wrapText="1"/>
    </xf>
    <xf numFmtId="0" fontId="20" fillId="0" borderId="0" xfId="1" applyFont="1"/>
    <xf numFmtId="0" fontId="21" fillId="0" borderId="0" xfId="1" applyFont="1"/>
    <xf numFmtId="189" fontId="21" fillId="0" borderId="0" xfId="1" applyNumberFormat="1" applyFont="1"/>
    <xf numFmtId="0" fontId="21" fillId="0" borderId="4" xfId="1" applyFont="1" applyBorder="1"/>
    <xf numFmtId="0" fontId="21" fillId="0" borderId="3" xfId="1" applyFont="1" applyBorder="1"/>
    <xf numFmtId="0" fontId="21" fillId="0" borderId="3" xfId="1" applyFont="1" applyBorder="1" applyAlignment="1">
      <alignment horizontal="center"/>
    </xf>
    <xf numFmtId="15" fontId="21" fillId="0" borderId="3" xfId="1" applyNumberFormat="1" applyFont="1" applyBorder="1" applyAlignment="1">
      <alignment horizontal="center"/>
    </xf>
    <xf numFmtId="0" fontId="21" fillId="0" borderId="2" xfId="1" applyFont="1" applyBorder="1"/>
    <xf numFmtId="15" fontId="21" fillId="0" borderId="2" xfId="1" applyNumberFormat="1" applyFont="1" applyBorder="1" applyAlignment="1">
      <alignment horizontal="center"/>
    </xf>
    <xf numFmtId="0" fontId="21" fillId="0" borderId="7" xfId="1" applyFont="1" applyBorder="1"/>
    <xf numFmtId="0" fontId="21" fillId="0" borderId="0" xfId="1" applyFont="1" applyAlignment="1">
      <alignment horizontal="center"/>
    </xf>
    <xf numFmtId="0" fontId="21" fillId="0" borderId="6" xfId="1" applyFont="1" applyBorder="1"/>
    <xf numFmtId="0" fontId="21" fillId="0" borderId="6" xfId="1" applyFont="1" applyBorder="1" applyAlignment="1">
      <alignment horizontal="center"/>
    </xf>
    <xf numFmtId="0" fontId="20" fillId="0" borderId="0" xfId="1" applyFont="1" applyAlignment="1">
      <alignment horizontal="left"/>
    </xf>
    <xf numFmtId="0" fontId="22" fillId="0" borderId="7" xfId="1" applyFont="1" applyBorder="1"/>
    <xf numFmtId="0" fontId="22" fillId="0" borderId="0" xfId="1" applyFont="1"/>
    <xf numFmtId="0" fontId="22" fillId="0" borderId="6" xfId="1" applyFont="1" applyBorder="1"/>
    <xf numFmtId="0" fontId="22" fillId="0" borderId="0" xfId="1" applyFont="1" applyAlignment="1">
      <alignment horizontal="center"/>
    </xf>
    <xf numFmtId="189" fontId="22" fillId="0" borderId="0" xfId="1" applyNumberFormat="1" applyFont="1"/>
    <xf numFmtId="0" fontId="22" fillId="0" borderId="10" xfId="1" applyFont="1" applyBorder="1"/>
    <xf numFmtId="0" fontId="22" fillId="0" borderId="1" xfId="1" applyFont="1" applyBorder="1"/>
    <xf numFmtId="0" fontId="22" fillId="0" borderId="19" xfId="1" applyFont="1" applyBorder="1"/>
    <xf numFmtId="0" fontId="22" fillId="0" borderId="1" xfId="1" applyFont="1" applyBorder="1" applyAlignment="1">
      <alignment horizontal="center"/>
    </xf>
    <xf numFmtId="0" fontId="22" fillId="0" borderId="9" xfId="1" applyFont="1" applyBorder="1"/>
    <xf numFmtId="0" fontId="21" fillId="0" borderId="0" xfId="1" applyFont="1" applyAlignment="1">
      <alignment horizontal="left"/>
    </xf>
    <xf numFmtId="0" fontId="21" fillId="0" borderId="20" xfId="1" applyFont="1" applyBorder="1"/>
    <xf numFmtId="0" fontId="20" fillId="0" borderId="20" xfId="1" applyFont="1" applyBorder="1"/>
    <xf numFmtId="0" fontId="21" fillId="0" borderId="0" xfId="1" applyFont="1" applyAlignment="1">
      <alignment horizontal="right"/>
    </xf>
    <xf numFmtId="0" fontId="21" fillId="0" borderId="0" xfId="1" applyFont="1" applyAlignment="1">
      <alignment horizontal="right"/>
    </xf>
    <xf numFmtId="0" fontId="23" fillId="0" borderId="0" xfId="1" applyFont="1"/>
    <xf numFmtId="0" fontId="24" fillId="0" borderId="0" xfId="1" applyFont="1"/>
    <xf numFmtId="0" fontId="22" fillId="0" borderId="6" xfId="1" applyFont="1" applyBorder="1" applyAlignment="1">
      <alignment vertical="top"/>
    </xf>
    <xf numFmtId="0" fontId="22" fillId="0" borderId="7" xfId="1" applyFont="1" applyBorder="1" applyAlignment="1">
      <alignment horizontal="left"/>
    </xf>
    <xf numFmtId="0" fontId="22" fillId="0" borderId="0" xfId="1" applyFont="1" applyAlignment="1">
      <alignment horizontal="left"/>
    </xf>
    <xf numFmtId="0" fontId="22" fillId="0" borderId="6" xfId="1" applyFont="1" applyBorder="1" applyAlignment="1">
      <alignment horizontal="left"/>
    </xf>
    <xf numFmtId="0" fontId="21" fillId="0" borderId="20" xfId="1" applyFont="1" applyBorder="1" applyAlignment="1">
      <alignment horizontal="right"/>
    </xf>
    <xf numFmtId="49" fontId="21" fillId="0" borderId="6" xfId="1" applyNumberFormat="1" applyFont="1" applyBorder="1" applyAlignment="1">
      <alignment horizontal="left"/>
    </xf>
    <xf numFmtId="49" fontId="21" fillId="0" borderId="7" xfId="1" applyNumberFormat="1" applyFont="1" applyBorder="1" applyAlignment="1">
      <alignment horizontal="left"/>
    </xf>
    <xf numFmtId="49" fontId="21" fillId="0" borderId="0" xfId="1" applyNumberFormat="1" applyFont="1" applyAlignment="1">
      <alignment horizontal="left"/>
    </xf>
    <xf numFmtId="49" fontId="21" fillId="0" borderId="6" xfId="1" applyNumberFormat="1" applyFont="1" applyBorder="1" applyAlignment="1">
      <alignment horizontal="left"/>
    </xf>
    <xf numFmtId="0" fontId="21" fillId="0" borderId="10" xfId="1" applyFont="1" applyBorder="1"/>
    <xf numFmtId="0" fontId="21" fillId="0" borderId="1" xfId="1" applyFont="1" applyBorder="1"/>
    <xf numFmtId="0" fontId="21" fillId="0" borderId="21" xfId="1" applyFont="1" applyBorder="1" applyAlignment="1">
      <alignment horizontal="center"/>
    </xf>
    <xf numFmtId="43" fontId="25" fillId="0" borderId="0" xfId="1" applyNumberFormat="1" applyFont="1" applyAlignment="1">
      <alignment vertical="center"/>
    </xf>
    <xf numFmtId="0" fontId="20" fillId="0" borderId="4" xfId="1" applyFont="1" applyBorder="1"/>
    <xf numFmtId="0" fontId="22" fillId="0" borderId="3" xfId="1" applyFont="1" applyBorder="1" applyAlignment="1">
      <alignment vertical="top"/>
    </xf>
    <xf numFmtId="43" fontId="22" fillId="0" borderId="3" xfId="1" applyNumberFormat="1" applyFont="1" applyBorder="1" applyAlignment="1">
      <alignment horizontal="center" vertical="top"/>
    </xf>
    <xf numFmtId="43" fontId="22" fillId="0" borderId="3" xfId="1" applyNumberFormat="1" applyFont="1" applyBorder="1" applyAlignment="1">
      <alignment horizontal="center" vertical="top"/>
    </xf>
    <xf numFmtId="0" fontId="25" fillId="0" borderId="3" xfId="1" applyFont="1" applyBorder="1" applyAlignment="1">
      <alignment vertical="top"/>
    </xf>
    <xf numFmtId="0" fontId="20" fillId="0" borderId="3" xfId="1" applyFont="1" applyBorder="1"/>
    <xf numFmtId="0" fontId="21" fillId="0" borderId="3" xfId="1" applyFont="1" applyBorder="1" applyAlignment="1">
      <alignment vertical="top"/>
    </xf>
    <xf numFmtId="0" fontId="26" fillId="0" borderId="7" xfId="1" applyFont="1" applyBorder="1" applyAlignment="1">
      <alignment vertical="center"/>
    </xf>
    <xf numFmtId="43" fontId="27" fillId="0" borderId="0" xfId="2" applyFont="1" applyBorder="1" applyAlignment="1">
      <alignment horizontal="left" vertical="center"/>
    </xf>
    <xf numFmtId="43" fontId="28" fillId="0" borderId="0" xfId="1" applyNumberFormat="1" applyFont="1" applyAlignment="1">
      <alignment horizontal="center" vertical="center"/>
    </xf>
    <xf numFmtId="0" fontId="27" fillId="0" borderId="0" xfId="1" applyFont="1" applyAlignment="1">
      <alignment horizontal="right" vertical="center"/>
    </xf>
    <xf numFmtId="0" fontId="26" fillId="0" borderId="0" xfId="1" applyFont="1" applyAlignment="1">
      <alignment vertical="center"/>
    </xf>
    <xf numFmtId="188" fontId="27" fillId="0" borderId="0" xfId="1" applyNumberFormat="1" applyFont="1" applyAlignment="1">
      <alignment vertical="center"/>
    </xf>
    <xf numFmtId="0" fontId="27" fillId="0" borderId="0" xfId="1" applyFont="1" applyAlignment="1">
      <alignment vertical="center"/>
    </xf>
    <xf numFmtId="0" fontId="26" fillId="0" borderId="0" xfId="1" applyFont="1" applyAlignment="1">
      <alignment horizontal="left" vertical="center"/>
    </xf>
    <xf numFmtId="0" fontId="26" fillId="0" borderId="6" xfId="1" applyFont="1" applyBorder="1" applyAlignment="1">
      <alignment vertical="center"/>
    </xf>
    <xf numFmtId="43" fontId="26" fillId="0" borderId="0" xfId="2" applyFont="1" applyBorder="1" applyAlignment="1">
      <alignment vertical="center"/>
    </xf>
    <xf numFmtId="0" fontId="26" fillId="0" borderId="7" xfId="1" applyFont="1" applyBorder="1" applyAlignment="1">
      <alignment vertical="top"/>
    </xf>
    <xf numFmtId="43" fontId="27" fillId="0" borderId="0" xfId="2" applyFont="1" applyBorder="1" applyAlignment="1">
      <alignment horizontal="left" vertical="top"/>
    </xf>
    <xf numFmtId="43" fontId="27" fillId="3" borderId="20" xfId="1" applyNumberFormat="1" applyFont="1" applyFill="1" applyBorder="1" applyAlignment="1">
      <alignment horizontal="center" vertical="top"/>
    </xf>
    <xf numFmtId="0" fontId="27" fillId="0" borderId="0" xfId="1" applyFont="1" applyAlignment="1">
      <alignment horizontal="right" vertical="top"/>
    </xf>
    <xf numFmtId="0" fontId="26" fillId="0" borderId="0" xfId="1" applyFont="1" applyAlignment="1">
      <alignment vertical="top"/>
    </xf>
    <xf numFmtId="0" fontId="27" fillId="0" borderId="20" xfId="1" applyFont="1" applyBorder="1" applyAlignment="1">
      <alignment horizontal="left" vertical="top" wrapText="1"/>
    </xf>
    <xf numFmtId="0" fontId="26" fillId="0" borderId="0" xfId="1" applyFont="1" applyAlignment="1">
      <alignment horizontal="left" vertical="top"/>
    </xf>
    <xf numFmtId="0" fontId="26" fillId="0" borderId="6" xfId="1" applyFont="1" applyBorder="1" applyAlignment="1">
      <alignment vertical="top"/>
    </xf>
    <xf numFmtId="0" fontId="26" fillId="0" borderId="22" xfId="1" applyFont="1" applyBorder="1" applyAlignment="1">
      <alignment vertical="top"/>
    </xf>
    <xf numFmtId="43" fontId="26" fillId="0" borderId="22" xfId="2" applyFont="1" applyBorder="1" applyAlignment="1">
      <alignment vertical="top"/>
    </xf>
    <xf numFmtId="43" fontId="26" fillId="0" borderId="0" xfId="2" applyFont="1" applyBorder="1" applyAlignment="1">
      <alignment horizontal="left" vertical="center"/>
    </xf>
    <xf numFmtId="0" fontId="27" fillId="0" borderId="23" xfId="1" applyFont="1" applyBorder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26" fillId="0" borderId="10" xfId="1" applyFont="1" applyBorder="1" applyAlignment="1">
      <alignment vertical="center"/>
    </xf>
    <xf numFmtId="0" fontId="27" fillId="0" borderId="24" xfId="1" applyFont="1" applyBorder="1" applyAlignment="1">
      <alignment horizontal="left" vertical="center"/>
    </xf>
    <xf numFmtId="0" fontId="26" fillId="0" borderId="9" xfId="1" applyFont="1" applyBorder="1" applyAlignment="1">
      <alignment vertical="center"/>
    </xf>
    <xf numFmtId="0" fontId="21" fillId="0" borderId="18" xfId="1" applyFont="1" applyBorder="1"/>
    <xf numFmtId="0" fontId="21" fillId="0" borderId="17" xfId="1" applyFont="1" applyBorder="1"/>
    <xf numFmtId="0" fontId="22" fillId="0" borderId="16" xfId="1" applyFont="1" applyBorder="1" applyAlignment="1">
      <alignment horizontal="center"/>
    </xf>
    <xf numFmtId="43" fontId="21" fillId="0" borderId="0" xfId="1" applyNumberFormat="1" applyFont="1"/>
    <xf numFmtId="43" fontId="21" fillId="0" borderId="3" xfId="1" applyNumberFormat="1" applyFont="1" applyBorder="1"/>
    <xf numFmtId="0" fontId="21" fillId="0" borderId="3" xfId="1" applyFont="1" applyBorder="1" applyAlignment="1">
      <alignment horizontal="center"/>
    </xf>
    <xf numFmtId="0" fontId="22" fillId="0" borderId="2" xfId="1" applyFont="1" applyBorder="1"/>
    <xf numFmtId="0" fontId="22" fillId="3" borderId="20" xfId="1" applyFont="1" applyFill="1" applyBorder="1" applyAlignment="1">
      <alignment horizontal="center"/>
    </xf>
    <xf numFmtId="4" fontId="22" fillId="3" borderId="20" xfId="1" applyNumberFormat="1" applyFont="1" applyFill="1" applyBorder="1" applyAlignment="1">
      <alignment horizontal="center"/>
    </xf>
    <xf numFmtId="0" fontId="21" fillId="0" borderId="0" xfId="1" applyFont="1" applyAlignment="1">
      <alignment horizontal="left"/>
    </xf>
    <xf numFmtId="0" fontId="21" fillId="0" borderId="21" xfId="1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1" fillId="0" borderId="20" xfId="1" applyFont="1" applyBorder="1" applyAlignment="1">
      <alignment horizontal="center"/>
    </xf>
    <xf numFmtId="0" fontId="29" fillId="0" borderId="7" xfId="1" applyFont="1" applyBorder="1" applyAlignment="1">
      <alignment horizontal="center" vertical="center" wrapText="1"/>
    </xf>
    <xf numFmtId="0" fontId="20" fillId="0" borderId="0" xfId="1" applyFont="1" applyAlignment="1">
      <alignment horizontal="left" vertical="center" wrapText="1"/>
    </xf>
    <xf numFmtId="0" fontId="20" fillId="0" borderId="0" xfId="1" applyFont="1" applyAlignment="1">
      <alignment vertical="center"/>
    </xf>
    <xf numFmtId="0" fontId="29" fillId="0" borderId="0" xfId="1" applyFont="1" applyAlignment="1">
      <alignment horizontal="center" vertical="center" wrapText="1"/>
    </xf>
    <xf numFmtId="0" fontId="20" fillId="0" borderId="0" xfId="1" applyFont="1" applyAlignment="1">
      <alignment horizontal="right" vertical="center" wrapText="1"/>
    </xf>
    <xf numFmtId="0" fontId="20" fillId="0" borderId="0" xfId="1" applyFont="1" applyAlignment="1">
      <alignment vertical="center" wrapText="1"/>
    </xf>
    <xf numFmtId="43" fontId="29" fillId="0" borderId="0" xfId="2" applyFont="1" applyBorder="1" applyAlignment="1">
      <alignment horizontal="center" vertical="top" wrapText="1"/>
    </xf>
    <xf numFmtId="0" fontId="20" fillId="0" borderId="6" xfId="1" applyFont="1" applyBorder="1" applyAlignment="1">
      <alignment horizontal="left" vertical="center" wrapText="1"/>
    </xf>
    <xf numFmtId="0" fontId="29" fillId="0" borderId="0" xfId="1" applyFont="1" applyAlignment="1">
      <alignment vertical="center" wrapText="1"/>
    </xf>
    <xf numFmtId="0" fontId="27" fillId="0" borderId="7" xfId="1" applyFont="1" applyBorder="1" applyAlignment="1">
      <alignment horizontal="center" vertical="center" wrapText="1"/>
    </xf>
    <xf numFmtId="0" fontId="26" fillId="0" borderId="0" xfId="1" applyFont="1" applyAlignment="1">
      <alignment horizontal="left" vertical="center" wrapText="1"/>
    </xf>
    <xf numFmtId="0" fontId="26" fillId="0" borderId="0" xfId="1" applyFont="1" applyAlignment="1">
      <alignment vertical="center" wrapText="1"/>
    </xf>
    <xf numFmtId="0" fontId="26" fillId="0" borderId="0" xfId="1" applyFont="1" applyAlignment="1">
      <alignment horizontal="left" vertical="center" wrapText="1"/>
    </xf>
    <xf numFmtId="0" fontId="27" fillId="0" borderId="0" xfId="1" applyFont="1" applyAlignment="1">
      <alignment vertical="center" wrapText="1"/>
    </xf>
    <xf numFmtId="0" fontId="28" fillId="0" borderId="20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6" xfId="1" applyFont="1" applyBorder="1" applyAlignment="1">
      <alignment horizontal="left" vertical="center" wrapText="1"/>
    </xf>
    <xf numFmtId="0" fontId="27" fillId="0" borderId="7" xfId="1" applyFont="1" applyBorder="1" applyAlignment="1">
      <alignment vertical="center" wrapText="1"/>
    </xf>
    <xf numFmtId="0" fontId="27" fillId="0" borderId="0" xfId="1" applyFont="1" applyAlignment="1">
      <alignment horizontal="center" vertical="center" wrapText="1"/>
    </xf>
    <xf numFmtId="0" fontId="27" fillId="0" borderId="0" xfId="1" applyFont="1" applyAlignment="1">
      <alignment horizontal="right" vertical="center" wrapText="1"/>
    </xf>
    <xf numFmtId="43" fontId="27" fillId="0" borderId="0" xfId="2" applyFont="1" applyBorder="1" applyAlignment="1">
      <alignment horizontal="center" vertical="center" wrapText="1"/>
    </xf>
    <xf numFmtId="43" fontId="27" fillId="0" borderId="0" xfId="2" applyFont="1" applyBorder="1" applyAlignment="1">
      <alignment vertical="top" wrapText="1"/>
    </xf>
    <xf numFmtId="43" fontId="27" fillId="0" borderId="7" xfId="2" applyFont="1" applyBorder="1" applyAlignment="1">
      <alignment vertical="top" wrapText="1"/>
    </xf>
    <xf numFmtId="43" fontId="27" fillId="0" borderId="0" xfId="2" applyFont="1" applyBorder="1" applyAlignment="1">
      <alignment horizontal="center" vertical="top" wrapText="1"/>
    </xf>
    <xf numFmtId="0" fontId="26" fillId="0" borderId="0" xfId="1" applyFont="1" applyAlignment="1">
      <alignment horizontal="center" vertical="top"/>
    </xf>
    <xf numFmtId="0" fontId="26" fillId="3" borderId="0" xfId="1" applyFont="1" applyFill="1" applyAlignment="1">
      <alignment horizontal="center" vertical="top" wrapText="1"/>
    </xf>
    <xf numFmtId="43" fontId="27" fillId="3" borderId="0" xfId="2" applyFont="1" applyFill="1" applyBorder="1" applyAlignment="1">
      <alignment horizontal="left" vertical="top" wrapText="1"/>
    </xf>
    <xf numFmtId="43" fontId="27" fillId="3" borderId="20" xfId="2" applyFont="1" applyFill="1" applyBorder="1" applyAlignment="1">
      <alignment horizontal="center" vertical="top" wrapText="1"/>
    </xf>
    <xf numFmtId="0" fontId="26" fillId="0" borderId="0" xfId="1" applyFont="1" applyAlignment="1">
      <alignment horizontal="left" vertical="top" wrapText="1"/>
    </xf>
    <xf numFmtId="0" fontId="26" fillId="0" borderId="6" xfId="1" applyFont="1" applyBorder="1" applyAlignment="1">
      <alignment horizontal="left" vertical="top" wrapText="1"/>
    </xf>
    <xf numFmtId="0" fontId="27" fillId="0" borderId="0" xfId="1" applyFont="1" applyAlignment="1">
      <alignment vertical="top" wrapText="1"/>
    </xf>
    <xf numFmtId="0" fontId="22" fillId="0" borderId="25" xfId="1" applyFont="1" applyBorder="1" applyAlignment="1">
      <alignment horizontal="left" wrapText="1"/>
    </xf>
    <xf numFmtId="0" fontId="22" fillId="0" borderId="21" xfId="1" applyFont="1" applyBorder="1" applyAlignment="1">
      <alignment horizontal="left" wrapText="1"/>
    </xf>
    <xf numFmtId="0" fontId="22" fillId="0" borderId="0" xfId="1" applyFont="1" applyAlignment="1">
      <alignment horizontal="left" wrapText="1"/>
    </xf>
    <xf numFmtId="0" fontId="21" fillId="0" borderId="6" xfId="1" applyFont="1" applyBorder="1" applyAlignment="1">
      <alignment horizontal="left"/>
    </xf>
    <xf numFmtId="0" fontId="22" fillId="0" borderId="26" xfId="1" applyFont="1" applyBorder="1" applyAlignment="1">
      <alignment horizontal="left" wrapText="1"/>
    </xf>
    <xf numFmtId="0" fontId="22" fillId="0" borderId="23" xfId="1" applyFont="1" applyBorder="1" applyAlignment="1">
      <alignment horizontal="left" wrapText="1"/>
    </xf>
    <xf numFmtId="0" fontId="22" fillId="0" borderId="27" xfId="1" applyFont="1" applyBorder="1" applyAlignment="1">
      <alignment horizontal="center"/>
    </xf>
    <xf numFmtId="0" fontId="22" fillId="0" borderId="20" xfId="1" applyFont="1" applyBorder="1" applyAlignment="1">
      <alignment horizontal="center"/>
    </xf>
    <xf numFmtId="0" fontId="20" fillId="0" borderId="7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15" fontId="20" fillId="0" borderId="0" xfId="1" applyNumberFormat="1" applyFont="1" applyAlignment="1">
      <alignment horizontal="center" vertical="center" wrapText="1"/>
    </xf>
    <xf numFmtId="15" fontId="29" fillId="0" borderId="20" xfId="1" applyNumberFormat="1" applyFont="1" applyBorder="1" applyAlignment="1">
      <alignment horizontal="center" vertical="center" wrapText="1"/>
    </xf>
    <xf numFmtId="15" fontId="20" fillId="0" borderId="0" xfId="1" applyNumberFormat="1" applyFont="1" applyAlignment="1">
      <alignment horizontal="left" vertical="center" wrapText="1"/>
    </xf>
    <xf numFmtId="0" fontId="29" fillId="0" borderId="20" xfId="1" applyFont="1" applyBorder="1" applyAlignment="1">
      <alignment horizontal="center" vertical="center" wrapText="1"/>
    </xf>
    <xf numFmtId="0" fontId="20" fillId="0" borderId="0" xfId="1" applyFont="1" applyAlignment="1">
      <alignment horizontal="right" vertical="center"/>
    </xf>
    <xf numFmtId="0" fontId="20" fillId="0" borderId="20" xfId="1" applyFont="1" applyBorder="1" applyAlignment="1">
      <alignment horizontal="center" vertical="center"/>
    </xf>
    <xf numFmtId="0" fontId="20" fillId="0" borderId="0" xfId="1" applyFont="1" applyAlignment="1">
      <alignment vertical="center" wrapText="1"/>
    </xf>
    <xf numFmtId="0" fontId="20" fillId="0" borderId="6" xfId="1" applyFont="1" applyBorder="1" applyAlignment="1">
      <alignment vertical="center" wrapText="1"/>
    </xf>
    <xf numFmtId="15" fontId="29" fillId="0" borderId="27" xfId="1" applyNumberFormat="1" applyFont="1" applyBorder="1" applyAlignment="1">
      <alignment horizontal="center" vertical="center" wrapText="1"/>
    </xf>
    <xf numFmtId="0" fontId="20" fillId="0" borderId="0" xfId="1" applyFont="1" applyAlignment="1">
      <alignment horizontal="right" vertical="center" wrapText="1"/>
    </xf>
    <xf numFmtId="49" fontId="27" fillId="0" borderId="20" xfId="1" applyNumberFormat="1" applyFont="1" applyBorder="1" applyAlignment="1">
      <alignment horizontal="center" vertical="center"/>
    </xf>
    <xf numFmtId="0" fontId="20" fillId="0" borderId="0" xfId="1" applyFont="1" applyAlignment="1">
      <alignment horizontal="left" vertical="center" wrapText="1"/>
    </xf>
    <xf numFmtId="0" fontId="20" fillId="0" borderId="6" xfId="1" applyFont="1" applyBorder="1" applyAlignment="1">
      <alignment horizontal="left" vertical="center" wrapText="1"/>
    </xf>
    <xf numFmtId="0" fontId="25" fillId="0" borderId="0" xfId="0" applyFont="1"/>
    <xf numFmtId="0" fontId="27" fillId="0" borderId="27" xfId="1" applyFont="1" applyBorder="1" applyAlignment="1">
      <alignment horizontal="left" vertical="top" wrapText="1"/>
    </xf>
    <xf numFmtId="0" fontId="27" fillId="0" borderId="28" xfId="1" applyFont="1" applyBorder="1" applyAlignment="1">
      <alignment horizontal="left" vertical="top" wrapText="1"/>
    </xf>
    <xf numFmtId="0" fontId="27" fillId="0" borderId="27" xfId="9" applyFont="1" applyBorder="1" applyAlignment="1">
      <alignment horizontal="left" vertical="top"/>
    </xf>
    <xf numFmtId="0" fontId="27" fillId="0" borderId="20" xfId="9" applyFont="1" applyBorder="1" applyAlignment="1">
      <alignment horizontal="left" vertical="top"/>
    </xf>
    <xf numFmtId="0" fontId="27" fillId="0" borderId="20" xfId="9" applyFont="1" applyBorder="1" applyAlignment="1">
      <alignment horizontal="left" vertical="top" wrapText="1"/>
    </xf>
    <xf numFmtId="0" fontId="22" fillId="0" borderId="29" xfId="1" applyFont="1" applyBorder="1" applyAlignment="1">
      <alignment horizontal="left"/>
    </xf>
    <xf numFmtId="0" fontId="22" fillId="0" borderId="24" xfId="1" applyFont="1" applyBorder="1" applyAlignment="1">
      <alignment horizontal="left"/>
    </xf>
    <xf numFmtId="0" fontId="21" fillId="0" borderId="1" xfId="1" applyFont="1" applyBorder="1" applyAlignment="1">
      <alignment horizontal="right"/>
    </xf>
    <xf numFmtId="0" fontId="22" fillId="0" borderId="24" xfId="1" applyFont="1" applyBorder="1" applyAlignment="1">
      <alignment horizontal="center"/>
    </xf>
    <xf numFmtId="0" fontId="20" fillId="0" borderId="1" xfId="1" applyFont="1" applyBorder="1" applyAlignment="1">
      <alignment horizontal="center"/>
    </xf>
    <xf numFmtId="0" fontId="20" fillId="0" borderId="1" xfId="1" applyFont="1" applyBorder="1"/>
    <xf numFmtId="0" fontId="21" fillId="0" borderId="9" xfId="1" applyFont="1" applyBorder="1"/>
    <xf numFmtId="0" fontId="21" fillId="0" borderId="17" xfId="1" applyFont="1" applyBorder="1"/>
    <xf numFmtId="0" fontId="26" fillId="0" borderId="17" xfId="1" applyFont="1" applyBorder="1"/>
    <xf numFmtId="0" fontId="27" fillId="0" borderId="17" xfId="1" applyFont="1" applyBorder="1"/>
    <xf numFmtId="0" fontId="22" fillId="0" borderId="17" xfId="1" applyFont="1" applyBorder="1"/>
    <xf numFmtId="0" fontId="22" fillId="0" borderId="17" xfId="1" applyFont="1" applyBorder="1" applyAlignment="1">
      <alignment horizontal="left"/>
    </xf>
    <xf numFmtId="0" fontId="22" fillId="0" borderId="16" xfId="1" applyFont="1" applyBorder="1" applyAlignment="1">
      <alignment horizontal="left"/>
    </xf>
    <xf numFmtId="0" fontId="27" fillId="0" borderId="3" xfId="1" applyFont="1" applyBorder="1" applyAlignment="1">
      <alignment horizontal="left"/>
    </xf>
    <xf numFmtId="0" fontId="22" fillId="0" borderId="3" xfId="1" applyFont="1" applyBorder="1"/>
    <xf numFmtId="0" fontId="22" fillId="0" borderId="0" xfId="1" applyFont="1" applyAlignment="1">
      <alignment horizontal="center"/>
    </xf>
    <xf numFmtId="0" fontId="22" fillId="0" borderId="0" xfId="1" applyFont="1" applyAlignment="1">
      <alignment horizontal="right"/>
    </xf>
    <xf numFmtId="0" fontId="22" fillId="0" borderId="0" xfId="1" applyFont="1" applyAlignment="1">
      <alignment horizontal="left"/>
    </xf>
    <xf numFmtId="43" fontId="27" fillId="0" borderId="12" xfId="5" applyNumberFormat="1" applyFont="1" applyBorder="1" applyAlignment="1">
      <alignment horizontal="center" vertical="center"/>
    </xf>
    <xf numFmtId="0" fontId="26" fillId="0" borderId="0" xfId="5" applyFont="1" applyAlignment="1">
      <alignment vertical="center"/>
    </xf>
    <xf numFmtId="43" fontId="26" fillId="0" borderId="0" xfId="5" applyNumberFormat="1" applyFont="1" applyAlignment="1">
      <alignment vertical="center"/>
    </xf>
    <xf numFmtId="43" fontId="26" fillId="4" borderId="0" xfId="1" applyNumberFormat="1" applyFont="1" applyFill="1" applyBorder="1" applyAlignment="1">
      <alignment horizontal="center" vertical="center"/>
    </xf>
    <xf numFmtId="43" fontId="26" fillId="4" borderId="0" xfId="1" applyNumberFormat="1" applyFont="1" applyFill="1" applyAlignment="1">
      <alignment horizontal="center" vertical="center"/>
    </xf>
    <xf numFmtId="43" fontId="26" fillId="4" borderId="7" xfId="1" applyNumberFormat="1" applyFont="1" applyFill="1" applyBorder="1" applyAlignment="1">
      <alignment horizontal="center" vertical="center"/>
    </xf>
    <xf numFmtId="0" fontId="27" fillId="0" borderId="12" xfId="5" applyFont="1" applyBorder="1" applyAlignment="1">
      <alignment vertical="center"/>
    </xf>
    <xf numFmtId="0" fontId="19" fillId="0" borderId="16" xfId="5" applyFont="1" applyBorder="1" applyAlignment="1">
      <alignment horizontal="center" vertical="center"/>
    </xf>
    <xf numFmtId="0" fontId="19" fillId="0" borderId="17" xfId="5" applyFont="1" applyBorder="1" applyAlignment="1">
      <alignment horizontal="center" vertical="center"/>
    </xf>
    <xf numFmtId="0" fontId="19" fillId="0" borderId="18" xfId="5" applyFont="1" applyBorder="1" applyAlignment="1">
      <alignment horizontal="center" vertical="center"/>
    </xf>
    <xf numFmtId="0" fontId="19" fillId="0" borderId="12" xfId="5" applyFont="1" applyBorder="1" applyAlignment="1">
      <alignment vertical="center"/>
    </xf>
    <xf numFmtId="0" fontId="27" fillId="0" borderId="20" xfId="1" applyFont="1" applyBorder="1" applyAlignment="1">
      <alignment horizontal="center" vertical="center" wrapText="1"/>
    </xf>
    <xf numFmtId="43" fontId="27" fillId="3" borderId="20" xfId="7" applyFont="1" applyFill="1" applyBorder="1" applyAlignment="1">
      <alignment horizontal="center" vertical="top" wrapText="1"/>
    </xf>
    <xf numFmtId="43" fontId="27" fillId="0" borderId="20" xfId="2" applyFont="1" applyBorder="1" applyAlignment="1">
      <alignment vertical="top" wrapText="1"/>
    </xf>
    <xf numFmtId="0" fontId="9" fillId="0" borderId="5" xfId="5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0" fillId="0" borderId="17" xfId="5" applyFont="1" applyBorder="1" applyAlignment="1">
      <alignment horizontal="center" vertical="center"/>
    </xf>
    <xf numFmtId="0" fontId="10" fillId="0" borderId="17" xfId="5" applyFont="1" applyBorder="1" applyAlignment="1">
      <alignment horizontal="left" vertical="center"/>
    </xf>
    <xf numFmtId="43" fontId="10" fillId="0" borderId="16" xfId="13" applyFont="1" applyBorder="1" applyAlignment="1">
      <alignment horizontal="center" vertical="center"/>
    </xf>
    <xf numFmtId="43" fontId="10" fillId="0" borderId="18" xfId="13" applyFont="1" applyBorder="1" applyAlignment="1">
      <alignment horizontal="center" vertical="center"/>
    </xf>
    <xf numFmtId="43" fontId="10" fillId="0" borderId="5" xfId="1" applyNumberFormat="1" applyFont="1" applyBorder="1" applyAlignment="1">
      <alignment horizontal="center" vertical="center" wrapText="1"/>
    </xf>
    <xf numFmtId="0" fontId="10" fillId="0" borderId="1" xfId="5" applyFont="1" applyBorder="1" applyAlignment="1">
      <alignment horizontal="center" vertical="center"/>
    </xf>
    <xf numFmtId="0" fontId="9" fillId="0" borderId="0" xfId="5" applyFont="1" applyAlignment="1">
      <alignment vertical="center"/>
    </xf>
    <xf numFmtId="43" fontId="9" fillId="0" borderId="12" xfId="5" applyNumberFormat="1" applyFont="1" applyBorder="1" applyAlignment="1">
      <alignment vertical="center"/>
    </xf>
    <xf numFmtId="43" fontId="9" fillId="0" borderId="0" xfId="5" applyNumberFormat="1" applyFont="1" applyAlignment="1">
      <alignment vertical="center"/>
    </xf>
    <xf numFmtId="0" fontId="9" fillId="0" borderId="16" xfId="0" applyFont="1" applyBorder="1" applyAlignment="1">
      <alignment vertical="center"/>
    </xf>
    <xf numFmtId="0" fontId="10" fillId="0" borderId="16" xfId="5" applyFont="1" applyBorder="1" applyAlignment="1">
      <alignment horizontal="center" vertical="center"/>
    </xf>
    <xf numFmtId="0" fontId="10" fillId="0" borderId="18" xfId="5" applyFont="1" applyBorder="1" applyAlignment="1">
      <alignment horizontal="center" vertical="center"/>
    </xf>
    <xf numFmtId="43" fontId="13" fillId="0" borderId="16" xfId="1" applyNumberFormat="1" applyFont="1" applyBorder="1" applyAlignment="1">
      <alignment horizontal="center" vertical="center"/>
    </xf>
    <xf numFmtId="43" fontId="13" fillId="0" borderId="17" xfId="1" applyNumberFormat="1" applyFont="1" applyBorder="1" applyAlignment="1">
      <alignment horizontal="center" vertical="center"/>
    </xf>
    <xf numFmtId="43" fontId="13" fillId="0" borderId="18" xfId="1" applyNumberFormat="1" applyFont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43" fontId="9" fillId="0" borderId="8" xfId="5" applyNumberFormat="1" applyFont="1" applyBorder="1" applyAlignment="1">
      <alignment vertical="center"/>
    </xf>
    <xf numFmtId="43" fontId="9" fillId="0" borderId="16" xfId="5" applyNumberFormat="1" applyFont="1" applyBorder="1" applyAlignment="1">
      <alignment horizontal="center" vertical="center"/>
    </xf>
    <xf numFmtId="0" fontId="9" fillId="0" borderId="18" xfId="5" applyFont="1" applyBorder="1" applyAlignment="1">
      <alignment horizontal="center" vertical="center"/>
    </xf>
    <xf numFmtId="43" fontId="11" fillId="0" borderId="16" xfId="1" applyNumberFormat="1" applyFont="1" applyBorder="1" applyAlignment="1">
      <alignment horizontal="center" vertical="center"/>
    </xf>
    <xf numFmtId="43" fontId="11" fillId="0" borderId="17" xfId="1" applyNumberFormat="1" applyFont="1" applyBorder="1" applyAlignment="1">
      <alignment horizontal="center" vertical="center"/>
    </xf>
    <xf numFmtId="43" fontId="11" fillId="0" borderId="18" xfId="1" applyNumberFormat="1" applyFont="1" applyBorder="1" applyAlignment="1">
      <alignment horizontal="center" vertical="center"/>
    </xf>
    <xf numFmtId="0" fontId="9" fillId="0" borderId="16" xfId="1" applyFont="1" applyBorder="1" applyAlignment="1">
      <alignment vertical="center"/>
    </xf>
    <xf numFmtId="0" fontId="9" fillId="4" borderId="16" xfId="5" applyFont="1" applyFill="1" applyBorder="1" applyAlignment="1">
      <alignment horizontal="center" vertical="center"/>
    </xf>
    <xf numFmtId="0" fontId="30" fillId="4" borderId="17" xfId="0" applyFont="1" applyFill="1" applyBorder="1" applyAlignment="1">
      <alignment vertical="center"/>
    </xf>
    <xf numFmtId="0" fontId="10" fillId="4" borderId="17" xfId="5" applyFont="1" applyFill="1" applyBorder="1" applyAlignment="1">
      <alignment horizontal="center" vertical="center"/>
    </xf>
    <xf numFmtId="43" fontId="10" fillId="4" borderId="16" xfId="5" applyNumberFormat="1" applyFont="1" applyFill="1" applyBorder="1" applyAlignment="1">
      <alignment horizontal="center" vertical="center"/>
    </xf>
    <xf numFmtId="0" fontId="10" fillId="4" borderId="18" xfId="5" applyFont="1" applyFill="1" applyBorder="1" applyAlignment="1">
      <alignment horizontal="center" vertical="center"/>
    </xf>
    <xf numFmtId="43" fontId="9" fillId="4" borderId="16" xfId="1" applyNumberFormat="1" applyFont="1" applyFill="1" applyBorder="1" applyAlignment="1">
      <alignment horizontal="center" vertical="center"/>
    </xf>
    <xf numFmtId="43" fontId="9" fillId="4" borderId="17" xfId="1" applyNumberFormat="1" applyFont="1" applyFill="1" applyBorder="1" applyAlignment="1">
      <alignment horizontal="center" vertical="center"/>
    </xf>
    <xf numFmtId="43" fontId="9" fillId="4" borderId="18" xfId="1" applyNumberFormat="1" applyFont="1" applyFill="1" applyBorder="1" applyAlignment="1">
      <alignment horizontal="center" vertical="center"/>
    </xf>
    <xf numFmtId="0" fontId="10" fillId="4" borderId="0" xfId="5" applyFont="1" applyFill="1" applyAlignment="1">
      <alignment horizontal="center" vertical="center"/>
    </xf>
    <xf numFmtId="0" fontId="9" fillId="4" borderId="0" xfId="5" applyFont="1" applyFill="1" applyAlignment="1">
      <alignment vertical="center"/>
    </xf>
    <xf numFmtId="43" fontId="9" fillId="4" borderId="8" xfId="5" applyNumberFormat="1" applyFont="1" applyFill="1" applyBorder="1" applyAlignment="1">
      <alignment vertical="center"/>
    </xf>
    <xf numFmtId="43" fontId="9" fillId="4" borderId="0" xfId="5" applyNumberFormat="1" applyFont="1" applyFill="1" applyAlignment="1">
      <alignment vertical="center"/>
    </xf>
  </cellXfs>
  <cellStyles count="14">
    <cellStyle name="Comma" xfId="13" builtinId="3"/>
    <cellStyle name="Comma 2" xfId="2" xr:uid="{FC148983-CB32-41BE-91DD-4122C3108D1E}"/>
    <cellStyle name="Comma 2 2" xfId="8" xr:uid="{3F19B4F6-7BDD-44A7-9C46-B507F9E4EF2F}"/>
    <cellStyle name="Comma 2 2 2" xfId="12" xr:uid="{C416E382-FE10-4D96-A79F-6292B8434DC8}"/>
    <cellStyle name="Comma 2 2 3" xfId="7" xr:uid="{8B4DC027-25C0-454E-8F85-9A502E1E7671}"/>
    <cellStyle name="Comma 4 2" xfId="4" xr:uid="{31360445-ACEE-4400-B843-3F5FE8870F29}"/>
    <cellStyle name="Comma 5" xfId="11" xr:uid="{2C764B91-5373-4B93-A399-3E24D080A365}"/>
    <cellStyle name="Normal" xfId="0" builtinId="0"/>
    <cellStyle name="Normal 2" xfId="9" xr:uid="{59B90A61-708D-4E18-9F51-99862CA13FC2}"/>
    <cellStyle name="Normal 2 2 2 2" xfId="6" xr:uid="{31B1C1E0-7B09-4008-80EC-43100FC08A33}"/>
    <cellStyle name="Normal 2 4" xfId="5" xr:uid="{930554D6-888D-4FF9-B0ED-758924D1225D}"/>
    <cellStyle name="Normal 3" xfId="1" xr:uid="{5FB98852-4F5F-4071-AB8E-833A8D145FC7}"/>
    <cellStyle name="Normal 6" xfId="10" xr:uid="{C4A3C92E-290E-4A72-8528-D95CC3E6CCBA}"/>
    <cellStyle name="Normal 7 2" xfId="3" xr:uid="{56B82BF2-A23D-4D40-B15B-945F686DF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140804</xdr:colOff>
      <xdr:row>0</xdr:row>
      <xdr:rowOff>74544</xdr:rowOff>
    </xdr:from>
    <xdr:to>
      <xdr:col>4</xdr:col>
      <xdr:colOff>66261</xdr:colOff>
      <xdr:row>1</xdr:row>
      <xdr:rowOff>372718</xdr:rowOff>
    </xdr:to>
    <xdr:pic>
      <xdr:nvPicPr>
        <xdr:cNvPr id="2" name="image00.png">
          <a:extLst>
            <a:ext uri="{FF2B5EF4-FFF2-40B4-BE49-F238E27FC236}">
              <a16:creationId xmlns:a16="http://schemas.microsoft.com/office/drawing/2014/main" id="{F037E5D3-B917-4A3C-A144-2734F53614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4" y="74544"/>
          <a:ext cx="3621157" cy="288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0</xdr:col>
      <xdr:colOff>392679</xdr:colOff>
      <xdr:row>14</xdr:row>
      <xdr:rowOff>56653</xdr:rowOff>
    </xdr:from>
    <xdr:to>
      <xdr:col>0</xdr:col>
      <xdr:colOff>622867</xdr:colOff>
      <xdr:row>14</xdr:row>
      <xdr:rowOff>264679</xdr:rowOff>
    </xdr:to>
    <xdr:sp macro="" textlink="">
      <xdr:nvSpPr>
        <xdr:cNvPr id="3" name="Rounded Rectangle 27">
          <a:extLst>
            <a:ext uri="{FF2B5EF4-FFF2-40B4-BE49-F238E27FC236}">
              <a16:creationId xmlns:a16="http://schemas.microsoft.com/office/drawing/2014/main" id="{3F68537E-90F6-4072-A1C2-E1061C97AFD1}"/>
            </a:ext>
          </a:extLst>
        </xdr:cNvPr>
        <xdr:cNvSpPr/>
      </xdr:nvSpPr>
      <xdr:spPr>
        <a:xfrm>
          <a:off x="392679" y="2590303"/>
          <a:ext cx="230188" cy="122301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376113</xdr:colOff>
      <xdr:row>16</xdr:row>
      <xdr:rowOff>38762</xdr:rowOff>
    </xdr:from>
    <xdr:to>
      <xdr:col>0</xdr:col>
      <xdr:colOff>598750</xdr:colOff>
      <xdr:row>16</xdr:row>
      <xdr:rowOff>236882</xdr:rowOff>
    </xdr:to>
    <xdr:sp macro="" textlink="">
      <xdr:nvSpPr>
        <xdr:cNvPr id="4" name="Rounded Rectangle 28">
          <a:extLst>
            <a:ext uri="{FF2B5EF4-FFF2-40B4-BE49-F238E27FC236}">
              <a16:creationId xmlns:a16="http://schemas.microsoft.com/office/drawing/2014/main" id="{8C046852-B98D-4471-BBC7-BEA2997BF8DA}"/>
            </a:ext>
          </a:extLst>
        </xdr:cNvPr>
        <xdr:cNvSpPr/>
      </xdr:nvSpPr>
      <xdr:spPr>
        <a:xfrm>
          <a:off x="376113" y="2934362"/>
          <a:ext cx="222637" cy="140970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oneCellAnchor>
    <xdr:from>
      <xdr:col>0</xdr:col>
      <xdr:colOff>392595</xdr:colOff>
      <xdr:row>14</xdr:row>
      <xdr:rowOff>57978</xdr:rowOff>
    </xdr:from>
    <xdr:ext cx="180975" cy="228642"/>
    <xdr:pic>
      <xdr:nvPicPr>
        <xdr:cNvPr id="5" name="Picture 4">
          <a:extLst>
            <a:ext uri="{FF2B5EF4-FFF2-40B4-BE49-F238E27FC236}">
              <a16:creationId xmlns:a16="http://schemas.microsoft.com/office/drawing/2014/main" id="{E0D136BF-5F48-49C0-B81F-31DC33CD0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595" y="2591628"/>
          <a:ext cx="180975" cy="228642"/>
        </a:xfrm>
        <a:prstGeom prst="rect">
          <a:avLst/>
        </a:prstGeom>
      </xdr:spPr>
    </xdr:pic>
    <xdr:clientData/>
  </xdr:oneCellAnchor>
  <xdr:twoCellAnchor>
    <xdr:from>
      <xdr:col>7</xdr:col>
      <xdr:colOff>15611</xdr:colOff>
      <xdr:row>48</xdr:row>
      <xdr:rowOff>44642</xdr:rowOff>
    </xdr:from>
    <xdr:to>
      <xdr:col>8</xdr:col>
      <xdr:colOff>213195</xdr:colOff>
      <xdr:row>48</xdr:row>
      <xdr:rowOff>354553</xdr:rowOff>
    </xdr:to>
    <xdr:sp macro="" textlink="">
      <xdr:nvSpPr>
        <xdr:cNvPr id="6" name="Rounded Rectangle 15">
          <a:extLst>
            <a:ext uri="{FF2B5EF4-FFF2-40B4-BE49-F238E27FC236}">
              <a16:creationId xmlns:a16="http://schemas.microsoft.com/office/drawing/2014/main" id="{966A4274-C505-4FAD-A544-122E0244078D}"/>
            </a:ext>
          </a:extLst>
        </xdr:cNvPr>
        <xdr:cNvSpPr/>
      </xdr:nvSpPr>
      <xdr:spPr>
        <a:xfrm>
          <a:off x="6483086" y="8731442"/>
          <a:ext cx="1121509" cy="138461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356152</xdr:colOff>
      <xdr:row>20</xdr:row>
      <xdr:rowOff>33130</xdr:rowOff>
    </xdr:from>
    <xdr:to>
      <xdr:col>0</xdr:col>
      <xdr:colOff>578789</xdr:colOff>
      <xdr:row>20</xdr:row>
      <xdr:rowOff>231250</xdr:rowOff>
    </xdr:to>
    <xdr:sp macro="" textlink="">
      <xdr:nvSpPr>
        <xdr:cNvPr id="7" name="Rounded Rectangle 28">
          <a:extLst>
            <a:ext uri="{FF2B5EF4-FFF2-40B4-BE49-F238E27FC236}">
              <a16:creationId xmlns:a16="http://schemas.microsoft.com/office/drawing/2014/main" id="{28497821-AC0C-4022-B25C-49A500EDF8BB}"/>
            </a:ext>
          </a:extLst>
        </xdr:cNvPr>
        <xdr:cNvSpPr/>
      </xdr:nvSpPr>
      <xdr:spPr>
        <a:xfrm>
          <a:off x="356152" y="3652630"/>
          <a:ext cx="222637" cy="150495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335942</xdr:colOff>
      <xdr:row>50</xdr:row>
      <xdr:rowOff>32965</xdr:rowOff>
    </xdr:from>
    <xdr:to>
      <xdr:col>0</xdr:col>
      <xdr:colOff>704894</xdr:colOff>
      <xdr:row>50</xdr:row>
      <xdr:rowOff>348591</xdr:rowOff>
    </xdr:to>
    <xdr:sp macro="" textlink="">
      <xdr:nvSpPr>
        <xdr:cNvPr id="8" name="Rounded Rectangle 15">
          <a:extLst>
            <a:ext uri="{FF2B5EF4-FFF2-40B4-BE49-F238E27FC236}">
              <a16:creationId xmlns:a16="http://schemas.microsoft.com/office/drawing/2014/main" id="{FA59DFFD-81B1-4DA1-9579-3351E64B35BC}"/>
            </a:ext>
          </a:extLst>
        </xdr:cNvPr>
        <xdr:cNvSpPr/>
      </xdr:nvSpPr>
      <xdr:spPr>
        <a:xfrm>
          <a:off x="335942" y="9081715"/>
          <a:ext cx="368952" cy="144176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356318</xdr:colOff>
      <xdr:row>52</xdr:row>
      <xdr:rowOff>18554</xdr:rowOff>
    </xdr:from>
    <xdr:to>
      <xdr:col>0</xdr:col>
      <xdr:colOff>729080</xdr:colOff>
      <xdr:row>52</xdr:row>
      <xdr:rowOff>332275</xdr:rowOff>
    </xdr:to>
    <xdr:sp macro="" textlink="">
      <xdr:nvSpPr>
        <xdr:cNvPr id="9" name="Rounded Rectangle 15">
          <a:extLst>
            <a:ext uri="{FF2B5EF4-FFF2-40B4-BE49-F238E27FC236}">
              <a16:creationId xmlns:a16="http://schemas.microsoft.com/office/drawing/2014/main" id="{B290AF64-F008-4EA7-8618-17F1BAAFCEBD}"/>
            </a:ext>
          </a:extLst>
        </xdr:cNvPr>
        <xdr:cNvSpPr/>
      </xdr:nvSpPr>
      <xdr:spPr>
        <a:xfrm>
          <a:off x="356318" y="9429254"/>
          <a:ext cx="372762" cy="161321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293370</xdr:colOff>
      <xdr:row>45</xdr:row>
      <xdr:rowOff>103865</xdr:rowOff>
    </xdr:from>
    <xdr:to>
      <xdr:col>0</xdr:col>
      <xdr:colOff>678225</xdr:colOff>
      <xdr:row>46</xdr:row>
      <xdr:rowOff>20683</xdr:rowOff>
    </xdr:to>
    <xdr:sp macro="" textlink="">
      <xdr:nvSpPr>
        <xdr:cNvPr id="10" name="Rounded Rectangle 15">
          <a:extLst>
            <a:ext uri="{FF2B5EF4-FFF2-40B4-BE49-F238E27FC236}">
              <a16:creationId xmlns:a16="http://schemas.microsoft.com/office/drawing/2014/main" id="{F51485A0-BF8E-4BE3-A06E-0300847BB2B3}"/>
            </a:ext>
          </a:extLst>
        </xdr:cNvPr>
        <xdr:cNvSpPr/>
      </xdr:nvSpPr>
      <xdr:spPr>
        <a:xfrm>
          <a:off x="293370" y="8247740"/>
          <a:ext cx="384855" cy="97793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359548</xdr:colOff>
      <xdr:row>54</xdr:row>
      <xdr:rowOff>62287</xdr:rowOff>
    </xdr:from>
    <xdr:to>
      <xdr:col>0</xdr:col>
      <xdr:colOff>732310</xdr:colOff>
      <xdr:row>54</xdr:row>
      <xdr:rowOff>376008</xdr:rowOff>
    </xdr:to>
    <xdr:sp macro="" textlink="">
      <xdr:nvSpPr>
        <xdr:cNvPr id="11" name="Rounded Rectangle 15">
          <a:extLst>
            <a:ext uri="{FF2B5EF4-FFF2-40B4-BE49-F238E27FC236}">
              <a16:creationId xmlns:a16="http://schemas.microsoft.com/office/drawing/2014/main" id="{8C068420-9962-468C-AE39-F098A4A9BC3A}"/>
            </a:ext>
          </a:extLst>
        </xdr:cNvPr>
        <xdr:cNvSpPr/>
      </xdr:nvSpPr>
      <xdr:spPr>
        <a:xfrm>
          <a:off x="359548" y="9834937"/>
          <a:ext cx="372762" cy="123221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14</xdr:col>
      <xdr:colOff>136497</xdr:colOff>
      <xdr:row>48</xdr:row>
      <xdr:rowOff>33049</xdr:rowOff>
    </xdr:from>
    <xdr:to>
      <xdr:col>15</xdr:col>
      <xdr:colOff>134055</xdr:colOff>
      <xdr:row>48</xdr:row>
      <xdr:rowOff>341055</xdr:rowOff>
    </xdr:to>
    <xdr:sp macro="" textlink="">
      <xdr:nvSpPr>
        <xdr:cNvPr id="12" name="Rounded Rectangle 15">
          <a:extLst>
            <a:ext uri="{FF2B5EF4-FFF2-40B4-BE49-F238E27FC236}">
              <a16:creationId xmlns:a16="http://schemas.microsoft.com/office/drawing/2014/main" id="{F96D7CEA-56B7-4C0B-A1E6-0B27B5C0EEF9}"/>
            </a:ext>
          </a:extLst>
        </xdr:cNvPr>
        <xdr:cNvSpPr/>
      </xdr:nvSpPr>
      <xdr:spPr>
        <a:xfrm>
          <a:off x="13071447" y="8719849"/>
          <a:ext cx="921483" cy="146081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305629</xdr:colOff>
      <xdr:row>44</xdr:row>
      <xdr:rowOff>51519</xdr:rowOff>
    </xdr:from>
    <xdr:to>
      <xdr:col>0</xdr:col>
      <xdr:colOff>692387</xdr:colOff>
      <xdr:row>44</xdr:row>
      <xdr:rowOff>365240</xdr:rowOff>
    </xdr:to>
    <xdr:sp macro="" textlink="">
      <xdr:nvSpPr>
        <xdr:cNvPr id="13" name="Rounded Rectangle 15">
          <a:extLst>
            <a:ext uri="{FF2B5EF4-FFF2-40B4-BE49-F238E27FC236}">
              <a16:creationId xmlns:a16="http://schemas.microsoft.com/office/drawing/2014/main" id="{D06BAE0F-CDE3-403D-BA6F-A68BC324B8C0}"/>
            </a:ext>
          </a:extLst>
        </xdr:cNvPr>
        <xdr:cNvSpPr/>
      </xdr:nvSpPr>
      <xdr:spPr>
        <a:xfrm>
          <a:off x="305629" y="8014419"/>
          <a:ext cx="386758" cy="132746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22</xdr:col>
      <xdr:colOff>49697</xdr:colOff>
      <xdr:row>48</xdr:row>
      <xdr:rowOff>25427</xdr:rowOff>
    </xdr:from>
    <xdr:to>
      <xdr:col>23</xdr:col>
      <xdr:colOff>199576</xdr:colOff>
      <xdr:row>48</xdr:row>
      <xdr:rowOff>333433</xdr:rowOff>
    </xdr:to>
    <xdr:sp macro="" textlink="">
      <xdr:nvSpPr>
        <xdr:cNvPr id="14" name="Rounded Rectangle 15">
          <a:extLst>
            <a:ext uri="{FF2B5EF4-FFF2-40B4-BE49-F238E27FC236}">
              <a16:creationId xmlns:a16="http://schemas.microsoft.com/office/drawing/2014/main" id="{8D80AFD3-2F14-4083-AEE1-F07574551AE3}"/>
            </a:ext>
          </a:extLst>
        </xdr:cNvPr>
        <xdr:cNvSpPr/>
      </xdr:nvSpPr>
      <xdr:spPr>
        <a:xfrm>
          <a:off x="20376047" y="8712227"/>
          <a:ext cx="1073804" cy="155606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353833</xdr:colOff>
      <xdr:row>55</xdr:row>
      <xdr:rowOff>62368</xdr:rowOff>
    </xdr:from>
    <xdr:to>
      <xdr:col>0</xdr:col>
      <xdr:colOff>724690</xdr:colOff>
      <xdr:row>55</xdr:row>
      <xdr:rowOff>370374</xdr:rowOff>
    </xdr:to>
    <xdr:sp macro="" textlink="">
      <xdr:nvSpPr>
        <xdr:cNvPr id="15" name="Rounded Rectangle 15">
          <a:extLst>
            <a:ext uri="{FF2B5EF4-FFF2-40B4-BE49-F238E27FC236}">
              <a16:creationId xmlns:a16="http://schemas.microsoft.com/office/drawing/2014/main" id="{6292B957-E7FF-4D93-A816-D8D76C7DDE2E}"/>
            </a:ext>
          </a:extLst>
        </xdr:cNvPr>
        <xdr:cNvSpPr/>
      </xdr:nvSpPr>
      <xdr:spPr>
        <a:xfrm>
          <a:off x="353833" y="10015993"/>
          <a:ext cx="370857" cy="117506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328819</xdr:colOff>
      <xdr:row>56</xdr:row>
      <xdr:rowOff>31391</xdr:rowOff>
    </xdr:from>
    <xdr:to>
      <xdr:col>0</xdr:col>
      <xdr:colOff>709201</xdr:colOff>
      <xdr:row>56</xdr:row>
      <xdr:rowOff>287962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FB688F8C-F620-42FE-956F-8B775EBC4B15}"/>
            </a:ext>
          </a:extLst>
        </xdr:cNvPr>
        <xdr:cNvSpPr/>
      </xdr:nvSpPr>
      <xdr:spPr>
        <a:xfrm>
          <a:off x="328819" y="10165991"/>
          <a:ext cx="380382" cy="151796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323022</xdr:colOff>
      <xdr:row>47</xdr:row>
      <xdr:rowOff>41413</xdr:rowOff>
    </xdr:from>
    <xdr:to>
      <xdr:col>0</xdr:col>
      <xdr:colOff>703404</xdr:colOff>
      <xdr:row>47</xdr:row>
      <xdr:rowOff>364659</xdr:rowOff>
    </xdr:to>
    <xdr:sp macro="" textlink="">
      <xdr:nvSpPr>
        <xdr:cNvPr id="17" name="Rounded Rectangle 15">
          <a:extLst>
            <a:ext uri="{FF2B5EF4-FFF2-40B4-BE49-F238E27FC236}">
              <a16:creationId xmlns:a16="http://schemas.microsoft.com/office/drawing/2014/main" id="{0FC93151-D639-4004-A290-22FA8EF4E8AF}"/>
            </a:ext>
          </a:extLst>
        </xdr:cNvPr>
        <xdr:cNvSpPr/>
      </xdr:nvSpPr>
      <xdr:spPr>
        <a:xfrm>
          <a:off x="323022" y="8547238"/>
          <a:ext cx="380382" cy="142271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331305</xdr:colOff>
      <xdr:row>48</xdr:row>
      <xdr:rowOff>66260</xdr:rowOff>
    </xdr:from>
    <xdr:to>
      <xdr:col>0</xdr:col>
      <xdr:colOff>692637</xdr:colOff>
      <xdr:row>48</xdr:row>
      <xdr:rowOff>370456</xdr:rowOff>
    </xdr:to>
    <xdr:sp macro="" textlink="">
      <xdr:nvSpPr>
        <xdr:cNvPr id="18" name="Rounded Rectangle 15">
          <a:extLst>
            <a:ext uri="{FF2B5EF4-FFF2-40B4-BE49-F238E27FC236}">
              <a16:creationId xmlns:a16="http://schemas.microsoft.com/office/drawing/2014/main" id="{E83B58BF-E3CF-4021-8F41-101AC4B01A0D}"/>
            </a:ext>
          </a:extLst>
        </xdr:cNvPr>
        <xdr:cNvSpPr/>
      </xdr:nvSpPr>
      <xdr:spPr>
        <a:xfrm>
          <a:off x="331305" y="8753060"/>
          <a:ext cx="361332" cy="113696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19</xdr:col>
      <xdr:colOff>3727</xdr:colOff>
      <xdr:row>47</xdr:row>
      <xdr:rowOff>34373</xdr:rowOff>
    </xdr:from>
    <xdr:to>
      <xdr:col>19</xdr:col>
      <xdr:colOff>383363</xdr:colOff>
      <xdr:row>47</xdr:row>
      <xdr:rowOff>355714</xdr:rowOff>
    </xdr:to>
    <xdr:sp macro="" textlink="">
      <xdr:nvSpPr>
        <xdr:cNvPr id="19" name="Rounded Rectangle 15">
          <a:extLst>
            <a:ext uri="{FF2B5EF4-FFF2-40B4-BE49-F238E27FC236}">
              <a16:creationId xmlns:a16="http://schemas.microsoft.com/office/drawing/2014/main" id="{6DFDC009-0FDF-42A6-91BD-AE6B0FC9F704}"/>
            </a:ext>
          </a:extLst>
        </xdr:cNvPr>
        <xdr:cNvSpPr/>
      </xdr:nvSpPr>
      <xdr:spPr>
        <a:xfrm>
          <a:off x="17558302" y="8540198"/>
          <a:ext cx="379636" cy="149891"/>
        </a:xfrm>
        <a:prstGeom prst="round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9891-B244-4C73-AD89-99B68D3DF49D}">
  <sheetPr>
    <tabColor rgb="FF92D050"/>
    <pageSetUpPr fitToPage="1"/>
  </sheetPr>
  <dimension ref="A1:BD1022"/>
  <sheetViews>
    <sheetView tabSelected="1" zoomScaleNormal="100" zoomScaleSheetLayoutView="100" workbookViewId="0">
      <selection activeCell="H11" sqref="H11:AR11"/>
    </sheetView>
  </sheetViews>
  <sheetFormatPr defaultColWidth="12.125" defaultRowHeight="15" customHeight="1" x14ac:dyDescent="0.55000000000000004"/>
  <cols>
    <col min="1" max="1" width="11" style="144" customWidth="1"/>
    <col min="2" max="2" width="2.125" style="144" customWidth="1"/>
    <col min="3" max="3" width="1.625" style="144" customWidth="1"/>
    <col min="4" max="4" width="2.375" style="144" customWidth="1"/>
    <col min="5" max="5" width="3.375" style="144" customWidth="1"/>
    <col min="6" max="6" width="6.875" style="144" customWidth="1"/>
    <col min="7" max="7" width="4" style="144" customWidth="1"/>
    <col min="8" max="8" width="2.125" style="144" customWidth="1"/>
    <col min="9" max="9" width="5.75" style="144" customWidth="1"/>
    <col min="10" max="11" width="2.875" style="144" customWidth="1"/>
    <col min="12" max="12" width="1.125" style="144" customWidth="1"/>
    <col min="13" max="13" width="1.375" style="144" customWidth="1"/>
    <col min="14" max="14" width="4.875" style="144" customWidth="1"/>
    <col min="15" max="15" width="5.25" style="144" customWidth="1"/>
    <col min="16" max="16" width="4" style="144" customWidth="1"/>
    <col min="17" max="17" width="3.25" style="144" customWidth="1"/>
    <col min="18" max="18" width="3.125" style="144" customWidth="1"/>
    <col min="19" max="19" width="2.375" style="144" customWidth="1"/>
    <col min="20" max="20" width="5.375" style="144" customWidth="1"/>
    <col min="21" max="21" width="2.375" style="144" customWidth="1"/>
    <col min="22" max="22" width="3" style="144" customWidth="1"/>
    <col min="23" max="23" width="2.75" style="144" customWidth="1"/>
    <col min="24" max="24" width="4.375" style="144" customWidth="1"/>
    <col min="25" max="26" width="3.125" style="144" customWidth="1"/>
    <col min="27" max="28" width="3.75" style="144" customWidth="1"/>
    <col min="29" max="29" width="4.375" style="144" customWidth="1"/>
    <col min="30" max="30" width="3.625" style="144" customWidth="1"/>
    <col min="31" max="31" width="1.125" style="144" customWidth="1"/>
    <col min="32" max="32" width="2.875" style="144" customWidth="1"/>
    <col min="33" max="33" width="4.375" style="144" customWidth="1"/>
    <col min="34" max="35" width="3.625" style="144" customWidth="1"/>
    <col min="36" max="36" width="2.625" style="144" customWidth="1"/>
    <col min="37" max="39" width="2.75" style="144" customWidth="1"/>
    <col min="40" max="41" width="2.125" style="144" customWidth="1"/>
    <col min="42" max="42" width="1.125" style="144" customWidth="1"/>
    <col min="43" max="43" width="2.125" style="144" customWidth="1"/>
    <col min="44" max="44" width="5.625" style="144" customWidth="1"/>
    <col min="45" max="45" width="6.625" style="144" customWidth="1"/>
    <col min="46" max="46" width="13" style="144" customWidth="1"/>
    <col min="47" max="47" width="11" style="144" customWidth="1"/>
    <col min="48" max="48" width="9.125" style="144" customWidth="1"/>
    <col min="49" max="49" width="17.375" style="144" customWidth="1"/>
    <col min="50" max="56" width="9.125" style="144" customWidth="1"/>
    <col min="57" max="286" width="12.125" style="144"/>
    <col min="287" max="287" width="9.875" style="144" customWidth="1"/>
    <col min="288" max="288" width="8.125" style="144" customWidth="1"/>
    <col min="289" max="289" width="2.875" style="144" customWidth="1"/>
    <col min="290" max="290" width="11.125" style="144" customWidth="1"/>
    <col min="291" max="291" width="5.875" style="144" customWidth="1"/>
    <col min="292" max="292" width="6" style="144" customWidth="1"/>
    <col min="293" max="293" width="2.875" style="144" customWidth="1"/>
    <col min="294" max="294" width="6.875" style="144" customWidth="1"/>
    <col min="295" max="295" width="11.125" style="144" customWidth="1"/>
    <col min="296" max="296" width="5.375" style="144" customWidth="1"/>
    <col min="297" max="297" width="5.75" style="144" customWidth="1"/>
    <col min="298" max="298" width="6.125" style="144" customWidth="1"/>
    <col min="299" max="299" width="6" style="144" customWidth="1"/>
    <col min="300" max="300" width="23.375" style="144" customWidth="1"/>
    <col min="301" max="301" width="5" style="144" customWidth="1"/>
    <col min="302" max="303" width="11" style="144" customWidth="1"/>
    <col min="304" max="312" width="9.125" style="144" customWidth="1"/>
    <col min="313" max="542" width="12.125" style="144"/>
    <col min="543" max="543" width="9.875" style="144" customWidth="1"/>
    <col min="544" max="544" width="8.125" style="144" customWidth="1"/>
    <col min="545" max="545" width="2.875" style="144" customWidth="1"/>
    <col min="546" max="546" width="11.125" style="144" customWidth="1"/>
    <col min="547" max="547" width="5.875" style="144" customWidth="1"/>
    <col min="548" max="548" width="6" style="144" customWidth="1"/>
    <col min="549" max="549" width="2.875" style="144" customWidth="1"/>
    <col min="550" max="550" width="6.875" style="144" customWidth="1"/>
    <col min="551" max="551" width="11.125" style="144" customWidth="1"/>
    <col min="552" max="552" width="5.375" style="144" customWidth="1"/>
    <col min="553" max="553" width="5.75" style="144" customWidth="1"/>
    <col min="554" max="554" width="6.125" style="144" customWidth="1"/>
    <col min="555" max="555" width="6" style="144" customWidth="1"/>
    <col min="556" max="556" width="23.375" style="144" customWidth="1"/>
    <col min="557" max="557" width="5" style="144" customWidth="1"/>
    <col min="558" max="559" width="11" style="144" customWidth="1"/>
    <col min="560" max="568" width="9.125" style="144" customWidth="1"/>
    <col min="569" max="798" width="12.125" style="144"/>
    <col min="799" max="799" width="9.875" style="144" customWidth="1"/>
    <col min="800" max="800" width="8.125" style="144" customWidth="1"/>
    <col min="801" max="801" width="2.875" style="144" customWidth="1"/>
    <col min="802" max="802" width="11.125" style="144" customWidth="1"/>
    <col min="803" max="803" width="5.875" style="144" customWidth="1"/>
    <col min="804" max="804" width="6" style="144" customWidth="1"/>
    <col min="805" max="805" width="2.875" style="144" customWidth="1"/>
    <col min="806" max="806" width="6.875" style="144" customWidth="1"/>
    <col min="807" max="807" width="11.125" style="144" customWidth="1"/>
    <col min="808" max="808" width="5.375" style="144" customWidth="1"/>
    <col min="809" max="809" width="5.75" style="144" customWidth="1"/>
    <col min="810" max="810" width="6.125" style="144" customWidth="1"/>
    <col min="811" max="811" width="6" style="144" customWidth="1"/>
    <col min="812" max="812" width="23.375" style="144" customWidth="1"/>
    <col min="813" max="813" width="5" style="144" customWidth="1"/>
    <col min="814" max="815" width="11" style="144" customWidth="1"/>
    <col min="816" max="824" width="9.125" style="144" customWidth="1"/>
    <col min="825" max="1054" width="12.125" style="144"/>
    <col min="1055" max="1055" width="9.875" style="144" customWidth="1"/>
    <col min="1056" max="1056" width="8.125" style="144" customWidth="1"/>
    <col min="1057" max="1057" width="2.875" style="144" customWidth="1"/>
    <col min="1058" max="1058" width="11.125" style="144" customWidth="1"/>
    <col min="1059" max="1059" width="5.875" style="144" customWidth="1"/>
    <col min="1060" max="1060" width="6" style="144" customWidth="1"/>
    <col min="1061" max="1061" width="2.875" style="144" customWidth="1"/>
    <col min="1062" max="1062" width="6.875" style="144" customWidth="1"/>
    <col min="1063" max="1063" width="11.125" style="144" customWidth="1"/>
    <col min="1064" max="1064" width="5.375" style="144" customWidth="1"/>
    <col min="1065" max="1065" width="5.75" style="144" customWidth="1"/>
    <col min="1066" max="1066" width="6.125" style="144" customWidth="1"/>
    <col min="1067" max="1067" width="6" style="144" customWidth="1"/>
    <col min="1068" max="1068" width="23.375" style="144" customWidth="1"/>
    <col min="1069" max="1069" width="5" style="144" customWidth="1"/>
    <col min="1070" max="1071" width="11" style="144" customWidth="1"/>
    <col min="1072" max="1080" width="9.125" style="144" customWidth="1"/>
    <col min="1081" max="1310" width="12.125" style="144"/>
    <col min="1311" max="1311" width="9.875" style="144" customWidth="1"/>
    <col min="1312" max="1312" width="8.125" style="144" customWidth="1"/>
    <col min="1313" max="1313" width="2.875" style="144" customWidth="1"/>
    <col min="1314" max="1314" width="11.125" style="144" customWidth="1"/>
    <col min="1315" max="1315" width="5.875" style="144" customWidth="1"/>
    <col min="1316" max="1316" width="6" style="144" customWidth="1"/>
    <col min="1317" max="1317" width="2.875" style="144" customWidth="1"/>
    <col min="1318" max="1318" width="6.875" style="144" customWidth="1"/>
    <col min="1319" max="1319" width="11.125" style="144" customWidth="1"/>
    <col min="1320" max="1320" width="5.375" style="144" customWidth="1"/>
    <col min="1321" max="1321" width="5.75" style="144" customWidth="1"/>
    <col min="1322" max="1322" width="6.125" style="144" customWidth="1"/>
    <col min="1323" max="1323" width="6" style="144" customWidth="1"/>
    <col min="1324" max="1324" width="23.375" style="144" customWidth="1"/>
    <col min="1325" max="1325" width="5" style="144" customWidth="1"/>
    <col min="1326" max="1327" width="11" style="144" customWidth="1"/>
    <col min="1328" max="1336" width="9.125" style="144" customWidth="1"/>
    <col min="1337" max="1566" width="12.125" style="144"/>
    <col min="1567" max="1567" width="9.875" style="144" customWidth="1"/>
    <col min="1568" max="1568" width="8.125" style="144" customWidth="1"/>
    <col min="1569" max="1569" width="2.875" style="144" customWidth="1"/>
    <col min="1570" max="1570" width="11.125" style="144" customWidth="1"/>
    <col min="1571" max="1571" width="5.875" style="144" customWidth="1"/>
    <col min="1572" max="1572" width="6" style="144" customWidth="1"/>
    <col min="1573" max="1573" width="2.875" style="144" customWidth="1"/>
    <col min="1574" max="1574" width="6.875" style="144" customWidth="1"/>
    <col min="1575" max="1575" width="11.125" style="144" customWidth="1"/>
    <col min="1576" max="1576" width="5.375" style="144" customWidth="1"/>
    <col min="1577" max="1577" width="5.75" style="144" customWidth="1"/>
    <col min="1578" max="1578" width="6.125" style="144" customWidth="1"/>
    <col min="1579" max="1579" width="6" style="144" customWidth="1"/>
    <col min="1580" max="1580" width="23.375" style="144" customWidth="1"/>
    <col min="1581" max="1581" width="5" style="144" customWidth="1"/>
    <col min="1582" max="1583" width="11" style="144" customWidth="1"/>
    <col min="1584" max="1592" width="9.125" style="144" customWidth="1"/>
    <col min="1593" max="1822" width="12.125" style="144"/>
    <col min="1823" max="1823" width="9.875" style="144" customWidth="1"/>
    <col min="1824" max="1824" width="8.125" style="144" customWidth="1"/>
    <col min="1825" max="1825" width="2.875" style="144" customWidth="1"/>
    <col min="1826" max="1826" width="11.125" style="144" customWidth="1"/>
    <col min="1827" max="1827" width="5.875" style="144" customWidth="1"/>
    <col min="1828" max="1828" width="6" style="144" customWidth="1"/>
    <col min="1829" max="1829" width="2.875" style="144" customWidth="1"/>
    <col min="1830" max="1830" width="6.875" style="144" customWidth="1"/>
    <col min="1831" max="1831" width="11.125" style="144" customWidth="1"/>
    <col min="1832" max="1832" width="5.375" style="144" customWidth="1"/>
    <col min="1833" max="1833" width="5.75" style="144" customWidth="1"/>
    <col min="1834" max="1834" width="6.125" style="144" customWidth="1"/>
    <col min="1835" max="1835" width="6" style="144" customWidth="1"/>
    <col min="1836" max="1836" width="23.375" style="144" customWidth="1"/>
    <col min="1837" max="1837" width="5" style="144" customWidth="1"/>
    <col min="1838" max="1839" width="11" style="144" customWidth="1"/>
    <col min="1840" max="1848" width="9.125" style="144" customWidth="1"/>
    <col min="1849" max="2078" width="12.125" style="144"/>
    <col min="2079" max="2079" width="9.875" style="144" customWidth="1"/>
    <col min="2080" max="2080" width="8.125" style="144" customWidth="1"/>
    <col min="2081" max="2081" width="2.875" style="144" customWidth="1"/>
    <col min="2082" max="2082" width="11.125" style="144" customWidth="1"/>
    <col min="2083" max="2083" width="5.875" style="144" customWidth="1"/>
    <col min="2084" max="2084" width="6" style="144" customWidth="1"/>
    <col min="2085" max="2085" width="2.875" style="144" customWidth="1"/>
    <col min="2086" max="2086" width="6.875" style="144" customWidth="1"/>
    <col min="2087" max="2087" width="11.125" style="144" customWidth="1"/>
    <col min="2088" max="2088" width="5.375" style="144" customWidth="1"/>
    <col min="2089" max="2089" width="5.75" style="144" customWidth="1"/>
    <col min="2090" max="2090" width="6.125" style="144" customWidth="1"/>
    <col min="2091" max="2091" width="6" style="144" customWidth="1"/>
    <col min="2092" max="2092" width="23.375" style="144" customWidth="1"/>
    <col min="2093" max="2093" width="5" style="144" customWidth="1"/>
    <col min="2094" max="2095" width="11" style="144" customWidth="1"/>
    <col min="2096" max="2104" width="9.125" style="144" customWidth="1"/>
    <col min="2105" max="2334" width="12.125" style="144"/>
    <col min="2335" max="2335" width="9.875" style="144" customWidth="1"/>
    <col min="2336" max="2336" width="8.125" style="144" customWidth="1"/>
    <col min="2337" max="2337" width="2.875" style="144" customWidth="1"/>
    <col min="2338" max="2338" width="11.125" style="144" customWidth="1"/>
    <col min="2339" max="2339" width="5.875" style="144" customWidth="1"/>
    <col min="2340" max="2340" width="6" style="144" customWidth="1"/>
    <col min="2341" max="2341" width="2.875" style="144" customWidth="1"/>
    <col min="2342" max="2342" width="6.875" style="144" customWidth="1"/>
    <col min="2343" max="2343" width="11.125" style="144" customWidth="1"/>
    <col min="2344" max="2344" width="5.375" style="144" customWidth="1"/>
    <col min="2345" max="2345" width="5.75" style="144" customWidth="1"/>
    <col min="2346" max="2346" width="6.125" style="144" customWidth="1"/>
    <col min="2347" max="2347" width="6" style="144" customWidth="1"/>
    <col min="2348" max="2348" width="23.375" style="144" customWidth="1"/>
    <col min="2349" max="2349" width="5" style="144" customWidth="1"/>
    <col min="2350" max="2351" width="11" style="144" customWidth="1"/>
    <col min="2352" max="2360" width="9.125" style="144" customWidth="1"/>
    <col min="2361" max="2590" width="12.125" style="144"/>
    <col min="2591" max="2591" width="9.875" style="144" customWidth="1"/>
    <col min="2592" max="2592" width="8.125" style="144" customWidth="1"/>
    <col min="2593" max="2593" width="2.875" style="144" customWidth="1"/>
    <col min="2594" max="2594" width="11.125" style="144" customWidth="1"/>
    <col min="2595" max="2595" width="5.875" style="144" customWidth="1"/>
    <col min="2596" max="2596" width="6" style="144" customWidth="1"/>
    <col min="2597" max="2597" width="2.875" style="144" customWidth="1"/>
    <col min="2598" max="2598" width="6.875" style="144" customWidth="1"/>
    <col min="2599" max="2599" width="11.125" style="144" customWidth="1"/>
    <col min="2600" max="2600" width="5.375" style="144" customWidth="1"/>
    <col min="2601" max="2601" width="5.75" style="144" customWidth="1"/>
    <col min="2602" max="2602" width="6.125" style="144" customWidth="1"/>
    <col min="2603" max="2603" width="6" style="144" customWidth="1"/>
    <col min="2604" max="2604" width="23.375" style="144" customWidth="1"/>
    <col min="2605" max="2605" width="5" style="144" customWidth="1"/>
    <col min="2606" max="2607" width="11" style="144" customWidth="1"/>
    <col min="2608" max="2616" width="9.125" style="144" customWidth="1"/>
    <col min="2617" max="2846" width="12.125" style="144"/>
    <col min="2847" max="2847" width="9.875" style="144" customWidth="1"/>
    <col min="2848" max="2848" width="8.125" style="144" customWidth="1"/>
    <col min="2849" max="2849" width="2.875" style="144" customWidth="1"/>
    <col min="2850" max="2850" width="11.125" style="144" customWidth="1"/>
    <col min="2851" max="2851" width="5.875" style="144" customWidth="1"/>
    <col min="2852" max="2852" width="6" style="144" customWidth="1"/>
    <col min="2853" max="2853" width="2.875" style="144" customWidth="1"/>
    <col min="2854" max="2854" width="6.875" style="144" customWidth="1"/>
    <col min="2855" max="2855" width="11.125" style="144" customWidth="1"/>
    <col min="2856" max="2856" width="5.375" style="144" customWidth="1"/>
    <col min="2857" max="2857" width="5.75" style="144" customWidth="1"/>
    <col min="2858" max="2858" width="6.125" style="144" customWidth="1"/>
    <col min="2859" max="2859" width="6" style="144" customWidth="1"/>
    <col min="2860" max="2860" width="23.375" style="144" customWidth="1"/>
    <col min="2861" max="2861" width="5" style="144" customWidth="1"/>
    <col min="2862" max="2863" width="11" style="144" customWidth="1"/>
    <col min="2864" max="2872" width="9.125" style="144" customWidth="1"/>
    <col min="2873" max="3102" width="12.125" style="144"/>
    <col min="3103" max="3103" width="9.875" style="144" customWidth="1"/>
    <col min="3104" max="3104" width="8.125" style="144" customWidth="1"/>
    <col min="3105" max="3105" width="2.875" style="144" customWidth="1"/>
    <col min="3106" max="3106" width="11.125" style="144" customWidth="1"/>
    <col min="3107" max="3107" width="5.875" style="144" customWidth="1"/>
    <col min="3108" max="3108" width="6" style="144" customWidth="1"/>
    <col min="3109" max="3109" width="2.875" style="144" customWidth="1"/>
    <col min="3110" max="3110" width="6.875" style="144" customWidth="1"/>
    <col min="3111" max="3111" width="11.125" style="144" customWidth="1"/>
    <col min="3112" max="3112" width="5.375" style="144" customWidth="1"/>
    <col min="3113" max="3113" width="5.75" style="144" customWidth="1"/>
    <col min="3114" max="3114" width="6.125" style="144" customWidth="1"/>
    <col min="3115" max="3115" width="6" style="144" customWidth="1"/>
    <col min="3116" max="3116" width="23.375" style="144" customWidth="1"/>
    <col min="3117" max="3117" width="5" style="144" customWidth="1"/>
    <col min="3118" max="3119" width="11" style="144" customWidth="1"/>
    <col min="3120" max="3128" width="9.125" style="144" customWidth="1"/>
    <col min="3129" max="3358" width="12.125" style="144"/>
    <col min="3359" max="3359" width="9.875" style="144" customWidth="1"/>
    <col min="3360" max="3360" width="8.125" style="144" customWidth="1"/>
    <col min="3361" max="3361" width="2.875" style="144" customWidth="1"/>
    <col min="3362" max="3362" width="11.125" style="144" customWidth="1"/>
    <col min="3363" max="3363" width="5.875" style="144" customWidth="1"/>
    <col min="3364" max="3364" width="6" style="144" customWidth="1"/>
    <col min="3365" max="3365" width="2.875" style="144" customWidth="1"/>
    <col min="3366" max="3366" width="6.875" style="144" customWidth="1"/>
    <col min="3367" max="3367" width="11.125" style="144" customWidth="1"/>
    <col min="3368" max="3368" width="5.375" style="144" customWidth="1"/>
    <col min="3369" max="3369" width="5.75" style="144" customWidth="1"/>
    <col min="3370" max="3370" width="6.125" style="144" customWidth="1"/>
    <col min="3371" max="3371" width="6" style="144" customWidth="1"/>
    <col min="3372" max="3372" width="23.375" style="144" customWidth="1"/>
    <col min="3373" max="3373" width="5" style="144" customWidth="1"/>
    <col min="3374" max="3375" width="11" style="144" customWidth="1"/>
    <col min="3376" max="3384" width="9.125" style="144" customWidth="1"/>
    <col min="3385" max="3614" width="12.125" style="144"/>
    <col min="3615" max="3615" width="9.875" style="144" customWidth="1"/>
    <col min="3616" max="3616" width="8.125" style="144" customWidth="1"/>
    <col min="3617" max="3617" width="2.875" style="144" customWidth="1"/>
    <col min="3618" max="3618" width="11.125" style="144" customWidth="1"/>
    <col min="3619" max="3619" width="5.875" style="144" customWidth="1"/>
    <col min="3620" max="3620" width="6" style="144" customWidth="1"/>
    <col min="3621" max="3621" width="2.875" style="144" customWidth="1"/>
    <col min="3622" max="3622" width="6.875" style="144" customWidth="1"/>
    <col min="3623" max="3623" width="11.125" style="144" customWidth="1"/>
    <col min="3624" max="3624" width="5.375" style="144" customWidth="1"/>
    <col min="3625" max="3625" width="5.75" style="144" customWidth="1"/>
    <col min="3626" max="3626" width="6.125" style="144" customWidth="1"/>
    <col min="3627" max="3627" width="6" style="144" customWidth="1"/>
    <col min="3628" max="3628" width="23.375" style="144" customWidth="1"/>
    <col min="3629" max="3629" width="5" style="144" customWidth="1"/>
    <col min="3630" max="3631" width="11" style="144" customWidth="1"/>
    <col min="3632" max="3640" width="9.125" style="144" customWidth="1"/>
    <col min="3641" max="3870" width="12.125" style="144"/>
    <col min="3871" max="3871" width="9.875" style="144" customWidth="1"/>
    <col min="3872" max="3872" width="8.125" style="144" customWidth="1"/>
    <col min="3873" max="3873" width="2.875" style="144" customWidth="1"/>
    <col min="3874" max="3874" width="11.125" style="144" customWidth="1"/>
    <col min="3875" max="3875" width="5.875" style="144" customWidth="1"/>
    <col min="3876" max="3876" width="6" style="144" customWidth="1"/>
    <col min="3877" max="3877" width="2.875" style="144" customWidth="1"/>
    <col min="3878" max="3878" width="6.875" style="144" customWidth="1"/>
    <col min="3879" max="3879" width="11.125" style="144" customWidth="1"/>
    <col min="3880" max="3880" width="5.375" style="144" customWidth="1"/>
    <col min="3881" max="3881" width="5.75" style="144" customWidth="1"/>
    <col min="3882" max="3882" width="6.125" style="144" customWidth="1"/>
    <col min="3883" max="3883" width="6" style="144" customWidth="1"/>
    <col min="3884" max="3884" width="23.375" style="144" customWidth="1"/>
    <col min="3885" max="3885" width="5" style="144" customWidth="1"/>
    <col min="3886" max="3887" width="11" style="144" customWidth="1"/>
    <col min="3888" max="3896" width="9.125" style="144" customWidth="1"/>
    <col min="3897" max="4126" width="12.125" style="144"/>
    <col min="4127" max="4127" width="9.875" style="144" customWidth="1"/>
    <col min="4128" max="4128" width="8.125" style="144" customWidth="1"/>
    <col min="4129" max="4129" width="2.875" style="144" customWidth="1"/>
    <col min="4130" max="4130" width="11.125" style="144" customWidth="1"/>
    <col min="4131" max="4131" width="5.875" style="144" customWidth="1"/>
    <col min="4132" max="4132" width="6" style="144" customWidth="1"/>
    <col min="4133" max="4133" width="2.875" style="144" customWidth="1"/>
    <col min="4134" max="4134" width="6.875" style="144" customWidth="1"/>
    <col min="4135" max="4135" width="11.125" style="144" customWidth="1"/>
    <col min="4136" max="4136" width="5.375" style="144" customWidth="1"/>
    <col min="4137" max="4137" width="5.75" style="144" customWidth="1"/>
    <col min="4138" max="4138" width="6.125" style="144" customWidth="1"/>
    <col min="4139" max="4139" width="6" style="144" customWidth="1"/>
    <col min="4140" max="4140" width="23.375" style="144" customWidth="1"/>
    <col min="4141" max="4141" width="5" style="144" customWidth="1"/>
    <col min="4142" max="4143" width="11" style="144" customWidth="1"/>
    <col min="4144" max="4152" width="9.125" style="144" customWidth="1"/>
    <col min="4153" max="4382" width="12.125" style="144"/>
    <col min="4383" max="4383" width="9.875" style="144" customWidth="1"/>
    <col min="4384" max="4384" width="8.125" style="144" customWidth="1"/>
    <col min="4385" max="4385" width="2.875" style="144" customWidth="1"/>
    <col min="4386" max="4386" width="11.125" style="144" customWidth="1"/>
    <col min="4387" max="4387" width="5.875" style="144" customWidth="1"/>
    <col min="4388" max="4388" width="6" style="144" customWidth="1"/>
    <col min="4389" max="4389" width="2.875" style="144" customWidth="1"/>
    <col min="4390" max="4390" width="6.875" style="144" customWidth="1"/>
    <col min="4391" max="4391" width="11.125" style="144" customWidth="1"/>
    <col min="4392" max="4392" width="5.375" style="144" customWidth="1"/>
    <col min="4393" max="4393" width="5.75" style="144" customWidth="1"/>
    <col min="4394" max="4394" width="6.125" style="144" customWidth="1"/>
    <col min="4395" max="4395" width="6" style="144" customWidth="1"/>
    <col min="4396" max="4396" width="23.375" style="144" customWidth="1"/>
    <col min="4397" max="4397" width="5" style="144" customWidth="1"/>
    <col min="4398" max="4399" width="11" style="144" customWidth="1"/>
    <col min="4400" max="4408" width="9.125" style="144" customWidth="1"/>
    <col min="4409" max="4638" width="12.125" style="144"/>
    <col min="4639" max="4639" width="9.875" style="144" customWidth="1"/>
    <col min="4640" max="4640" width="8.125" style="144" customWidth="1"/>
    <col min="4641" max="4641" width="2.875" style="144" customWidth="1"/>
    <col min="4642" max="4642" width="11.125" style="144" customWidth="1"/>
    <col min="4643" max="4643" width="5.875" style="144" customWidth="1"/>
    <col min="4644" max="4644" width="6" style="144" customWidth="1"/>
    <col min="4645" max="4645" width="2.875" style="144" customWidth="1"/>
    <col min="4646" max="4646" width="6.875" style="144" customWidth="1"/>
    <col min="4647" max="4647" width="11.125" style="144" customWidth="1"/>
    <col min="4648" max="4648" width="5.375" style="144" customWidth="1"/>
    <col min="4649" max="4649" width="5.75" style="144" customWidth="1"/>
    <col min="4650" max="4650" width="6.125" style="144" customWidth="1"/>
    <col min="4651" max="4651" width="6" style="144" customWidth="1"/>
    <col min="4652" max="4652" width="23.375" style="144" customWidth="1"/>
    <col min="4653" max="4653" width="5" style="144" customWidth="1"/>
    <col min="4654" max="4655" width="11" style="144" customWidth="1"/>
    <col min="4656" max="4664" width="9.125" style="144" customWidth="1"/>
    <col min="4665" max="4894" width="12.125" style="144"/>
    <col min="4895" max="4895" width="9.875" style="144" customWidth="1"/>
    <col min="4896" max="4896" width="8.125" style="144" customWidth="1"/>
    <col min="4897" max="4897" width="2.875" style="144" customWidth="1"/>
    <col min="4898" max="4898" width="11.125" style="144" customWidth="1"/>
    <col min="4899" max="4899" width="5.875" style="144" customWidth="1"/>
    <col min="4900" max="4900" width="6" style="144" customWidth="1"/>
    <col min="4901" max="4901" width="2.875" style="144" customWidth="1"/>
    <col min="4902" max="4902" width="6.875" style="144" customWidth="1"/>
    <col min="4903" max="4903" width="11.125" style="144" customWidth="1"/>
    <col min="4904" max="4904" width="5.375" style="144" customWidth="1"/>
    <col min="4905" max="4905" width="5.75" style="144" customWidth="1"/>
    <col min="4906" max="4906" width="6.125" style="144" customWidth="1"/>
    <col min="4907" max="4907" width="6" style="144" customWidth="1"/>
    <col min="4908" max="4908" width="23.375" style="144" customWidth="1"/>
    <col min="4909" max="4909" width="5" style="144" customWidth="1"/>
    <col min="4910" max="4911" width="11" style="144" customWidth="1"/>
    <col min="4912" max="4920" width="9.125" style="144" customWidth="1"/>
    <col min="4921" max="5150" width="12.125" style="144"/>
    <col min="5151" max="5151" width="9.875" style="144" customWidth="1"/>
    <col min="5152" max="5152" width="8.125" style="144" customWidth="1"/>
    <col min="5153" max="5153" width="2.875" style="144" customWidth="1"/>
    <col min="5154" max="5154" width="11.125" style="144" customWidth="1"/>
    <col min="5155" max="5155" width="5.875" style="144" customWidth="1"/>
    <col min="5156" max="5156" width="6" style="144" customWidth="1"/>
    <col min="5157" max="5157" width="2.875" style="144" customWidth="1"/>
    <col min="5158" max="5158" width="6.875" style="144" customWidth="1"/>
    <col min="5159" max="5159" width="11.125" style="144" customWidth="1"/>
    <col min="5160" max="5160" width="5.375" style="144" customWidth="1"/>
    <col min="5161" max="5161" width="5.75" style="144" customWidth="1"/>
    <col min="5162" max="5162" width="6.125" style="144" customWidth="1"/>
    <col min="5163" max="5163" width="6" style="144" customWidth="1"/>
    <col min="5164" max="5164" width="23.375" style="144" customWidth="1"/>
    <col min="5165" max="5165" width="5" style="144" customWidth="1"/>
    <col min="5166" max="5167" width="11" style="144" customWidth="1"/>
    <col min="5168" max="5176" width="9.125" style="144" customWidth="1"/>
    <col min="5177" max="5406" width="12.125" style="144"/>
    <col min="5407" max="5407" width="9.875" style="144" customWidth="1"/>
    <col min="5408" max="5408" width="8.125" style="144" customWidth="1"/>
    <col min="5409" max="5409" width="2.875" style="144" customWidth="1"/>
    <col min="5410" max="5410" width="11.125" style="144" customWidth="1"/>
    <col min="5411" max="5411" width="5.875" style="144" customWidth="1"/>
    <col min="5412" max="5412" width="6" style="144" customWidth="1"/>
    <col min="5413" max="5413" width="2.875" style="144" customWidth="1"/>
    <col min="5414" max="5414" width="6.875" style="144" customWidth="1"/>
    <col min="5415" max="5415" width="11.125" style="144" customWidth="1"/>
    <col min="5416" max="5416" width="5.375" style="144" customWidth="1"/>
    <col min="5417" max="5417" width="5.75" style="144" customWidth="1"/>
    <col min="5418" max="5418" width="6.125" style="144" customWidth="1"/>
    <col min="5419" max="5419" width="6" style="144" customWidth="1"/>
    <col min="5420" max="5420" width="23.375" style="144" customWidth="1"/>
    <col min="5421" max="5421" width="5" style="144" customWidth="1"/>
    <col min="5422" max="5423" width="11" style="144" customWidth="1"/>
    <col min="5424" max="5432" width="9.125" style="144" customWidth="1"/>
    <col min="5433" max="5662" width="12.125" style="144"/>
    <col min="5663" max="5663" width="9.875" style="144" customWidth="1"/>
    <col min="5664" max="5664" width="8.125" style="144" customWidth="1"/>
    <col min="5665" max="5665" width="2.875" style="144" customWidth="1"/>
    <col min="5666" max="5666" width="11.125" style="144" customWidth="1"/>
    <col min="5667" max="5667" width="5.875" style="144" customWidth="1"/>
    <col min="5668" max="5668" width="6" style="144" customWidth="1"/>
    <col min="5669" max="5669" width="2.875" style="144" customWidth="1"/>
    <col min="5670" max="5670" width="6.875" style="144" customWidth="1"/>
    <col min="5671" max="5671" width="11.125" style="144" customWidth="1"/>
    <col min="5672" max="5672" width="5.375" style="144" customWidth="1"/>
    <col min="5673" max="5673" width="5.75" style="144" customWidth="1"/>
    <col min="5674" max="5674" width="6.125" style="144" customWidth="1"/>
    <col min="5675" max="5675" width="6" style="144" customWidth="1"/>
    <col min="5676" max="5676" width="23.375" style="144" customWidth="1"/>
    <col min="5677" max="5677" width="5" style="144" customWidth="1"/>
    <col min="5678" max="5679" width="11" style="144" customWidth="1"/>
    <col min="5680" max="5688" width="9.125" style="144" customWidth="1"/>
    <col min="5689" max="5918" width="12.125" style="144"/>
    <col min="5919" max="5919" width="9.875" style="144" customWidth="1"/>
    <col min="5920" max="5920" width="8.125" style="144" customWidth="1"/>
    <col min="5921" max="5921" width="2.875" style="144" customWidth="1"/>
    <col min="5922" max="5922" width="11.125" style="144" customWidth="1"/>
    <col min="5923" max="5923" width="5.875" style="144" customWidth="1"/>
    <col min="5924" max="5924" width="6" style="144" customWidth="1"/>
    <col min="5925" max="5925" width="2.875" style="144" customWidth="1"/>
    <col min="5926" max="5926" width="6.875" style="144" customWidth="1"/>
    <col min="5927" max="5927" width="11.125" style="144" customWidth="1"/>
    <col min="5928" max="5928" width="5.375" style="144" customWidth="1"/>
    <col min="5929" max="5929" width="5.75" style="144" customWidth="1"/>
    <col min="5930" max="5930" width="6.125" style="144" customWidth="1"/>
    <col min="5931" max="5931" width="6" style="144" customWidth="1"/>
    <col min="5932" max="5932" width="23.375" style="144" customWidth="1"/>
    <col min="5933" max="5933" width="5" style="144" customWidth="1"/>
    <col min="5934" max="5935" width="11" style="144" customWidth="1"/>
    <col min="5936" max="5944" width="9.125" style="144" customWidth="1"/>
    <col min="5945" max="6174" width="12.125" style="144"/>
    <col min="6175" max="6175" width="9.875" style="144" customWidth="1"/>
    <col min="6176" max="6176" width="8.125" style="144" customWidth="1"/>
    <col min="6177" max="6177" width="2.875" style="144" customWidth="1"/>
    <col min="6178" max="6178" width="11.125" style="144" customWidth="1"/>
    <col min="6179" max="6179" width="5.875" style="144" customWidth="1"/>
    <col min="6180" max="6180" width="6" style="144" customWidth="1"/>
    <col min="6181" max="6181" width="2.875" style="144" customWidth="1"/>
    <col min="6182" max="6182" width="6.875" style="144" customWidth="1"/>
    <col min="6183" max="6183" width="11.125" style="144" customWidth="1"/>
    <col min="6184" max="6184" width="5.375" style="144" customWidth="1"/>
    <col min="6185" max="6185" width="5.75" style="144" customWidth="1"/>
    <col min="6186" max="6186" width="6.125" style="144" customWidth="1"/>
    <col min="6187" max="6187" width="6" style="144" customWidth="1"/>
    <col min="6188" max="6188" width="23.375" style="144" customWidth="1"/>
    <col min="6189" max="6189" width="5" style="144" customWidth="1"/>
    <col min="6190" max="6191" width="11" style="144" customWidth="1"/>
    <col min="6192" max="6200" width="9.125" style="144" customWidth="1"/>
    <col min="6201" max="6430" width="12.125" style="144"/>
    <col min="6431" max="6431" width="9.875" style="144" customWidth="1"/>
    <col min="6432" max="6432" width="8.125" style="144" customWidth="1"/>
    <col min="6433" max="6433" width="2.875" style="144" customWidth="1"/>
    <col min="6434" max="6434" width="11.125" style="144" customWidth="1"/>
    <col min="6435" max="6435" width="5.875" style="144" customWidth="1"/>
    <col min="6436" max="6436" width="6" style="144" customWidth="1"/>
    <col min="6437" max="6437" width="2.875" style="144" customWidth="1"/>
    <col min="6438" max="6438" width="6.875" style="144" customWidth="1"/>
    <col min="6439" max="6439" width="11.125" style="144" customWidth="1"/>
    <col min="6440" max="6440" width="5.375" style="144" customWidth="1"/>
    <col min="6441" max="6441" width="5.75" style="144" customWidth="1"/>
    <col min="6442" max="6442" width="6.125" style="144" customWidth="1"/>
    <col min="6443" max="6443" width="6" style="144" customWidth="1"/>
    <col min="6444" max="6444" width="23.375" style="144" customWidth="1"/>
    <col min="6445" max="6445" width="5" style="144" customWidth="1"/>
    <col min="6446" max="6447" width="11" style="144" customWidth="1"/>
    <col min="6448" max="6456" width="9.125" style="144" customWidth="1"/>
    <col min="6457" max="6686" width="12.125" style="144"/>
    <col min="6687" max="6687" width="9.875" style="144" customWidth="1"/>
    <col min="6688" max="6688" width="8.125" style="144" customWidth="1"/>
    <col min="6689" max="6689" width="2.875" style="144" customWidth="1"/>
    <col min="6690" max="6690" width="11.125" style="144" customWidth="1"/>
    <col min="6691" max="6691" width="5.875" style="144" customWidth="1"/>
    <col min="6692" max="6692" width="6" style="144" customWidth="1"/>
    <col min="6693" max="6693" width="2.875" style="144" customWidth="1"/>
    <col min="6694" max="6694" width="6.875" style="144" customWidth="1"/>
    <col min="6695" max="6695" width="11.125" style="144" customWidth="1"/>
    <col min="6696" max="6696" width="5.375" style="144" customWidth="1"/>
    <col min="6697" max="6697" width="5.75" style="144" customWidth="1"/>
    <col min="6698" max="6698" width="6.125" style="144" customWidth="1"/>
    <col min="6699" max="6699" width="6" style="144" customWidth="1"/>
    <col min="6700" max="6700" width="23.375" style="144" customWidth="1"/>
    <col min="6701" max="6701" width="5" style="144" customWidth="1"/>
    <col min="6702" max="6703" width="11" style="144" customWidth="1"/>
    <col min="6704" max="6712" width="9.125" style="144" customWidth="1"/>
    <col min="6713" max="6942" width="12.125" style="144"/>
    <col min="6943" max="6943" width="9.875" style="144" customWidth="1"/>
    <col min="6944" max="6944" width="8.125" style="144" customWidth="1"/>
    <col min="6945" max="6945" width="2.875" style="144" customWidth="1"/>
    <col min="6946" max="6946" width="11.125" style="144" customWidth="1"/>
    <col min="6947" max="6947" width="5.875" style="144" customWidth="1"/>
    <col min="6948" max="6948" width="6" style="144" customWidth="1"/>
    <col min="6949" max="6949" width="2.875" style="144" customWidth="1"/>
    <col min="6950" max="6950" width="6.875" style="144" customWidth="1"/>
    <col min="6951" max="6951" width="11.125" style="144" customWidth="1"/>
    <col min="6952" max="6952" width="5.375" style="144" customWidth="1"/>
    <col min="6953" max="6953" width="5.75" style="144" customWidth="1"/>
    <col min="6954" max="6954" width="6.125" style="144" customWidth="1"/>
    <col min="6955" max="6955" width="6" style="144" customWidth="1"/>
    <col min="6956" max="6956" width="23.375" style="144" customWidth="1"/>
    <col min="6957" max="6957" width="5" style="144" customWidth="1"/>
    <col min="6958" max="6959" width="11" style="144" customWidth="1"/>
    <col min="6960" max="6968" width="9.125" style="144" customWidth="1"/>
    <col min="6969" max="7198" width="12.125" style="144"/>
    <col min="7199" max="7199" width="9.875" style="144" customWidth="1"/>
    <col min="7200" max="7200" width="8.125" style="144" customWidth="1"/>
    <col min="7201" max="7201" width="2.875" style="144" customWidth="1"/>
    <col min="7202" max="7202" width="11.125" style="144" customWidth="1"/>
    <col min="7203" max="7203" width="5.875" style="144" customWidth="1"/>
    <col min="7204" max="7204" width="6" style="144" customWidth="1"/>
    <col min="7205" max="7205" width="2.875" style="144" customWidth="1"/>
    <col min="7206" max="7206" width="6.875" style="144" customWidth="1"/>
    <col min="7207" max="7207" width="11.125" style="144" customWidth="1"/>
    <col min="7208" max="7208" width="5.375" style="144" customWidth="1"/>
    <col min="7209" max="7209" width="5.75" style="144" customWidth="1"/>
    <col min="7210" max="7210" width="6.125" style="144" customWidth="1"/>
    <col min="7211" max="7211" width="6" style="144" customWidth="1"/>
    <col min="7212" max="7212" width="23.375" style="144" customWidth="1"/>
    <col min="7213" max="7213" width="5" style="144" customWidth="1"/>
    <col min="7214" max="7215" width="11" style="144" customWidth="1"/>
    <col min="7216" max="7224" width="9.125" style="144" customWidth="1"/>
    <col min="7225" max="7454" width="12.125" style="144"/>
    <col min="7455" max="7455" width="9.875" style="144" customWidth="1"/>
    <col min="7456" max="7456" width="8.125" style="144" customWidth="1"/>
    <col min="7457" max="7457" width="2.875" style="144" customWidth="1"/>
    <col min="7458" max="7458" width="11.125" style="144" customWidth="1"/>
    <col min="7459" max="7459" width="5.875" style="144" customWidth="1"/>
    <col min="7460" max="7460" width="6" style="144" customWidth="1"/>
    <col min="7461" max="7461" width="2.875" style="144" customWidth="1"/>
    <col min="7462" max="7462" width="6.875" style="144" customWidth="1"/>
    <col min="7463" max="7463" width="11.125" style="144" customWidth="1"/>
    <col min="7464" max="7464" width="5.375" style="144" customWidth="1"/>
    <col min="7465" max="7465" width="5.75" style="144" customWidth="1"/>
    <col min="7466" max="7466" width="6.125" style="144" customWidth="1"/>
    <col min="7467" max="7467" width="6" style="144" customWidth="1"/>
    <col min="7468" max="7468" width="23.375" style="144" customWidth="1"/>
    <col min="7469" max="7469" width="5" style="144" customWidth="1"/>
    <col min="7470" max="7471" width="11" style="144" customWidth="1"/>
    <col min="7472" max="7480" width="9.125" style="144" customWidth="1"/>
    <col min="7481" max="7710" width="12.125" style="144"/>
    <col min="7711" max="7711" width="9.875" style="144" customWidth="1"/>
    <col min="7712" max="7712" width="8.125" style="144" customWidth="1"/>
    <col min="7713" max="7713" width="2.875" style="144" customWidth="1"/>
    <col min="7714" max="7714" width="11.125" style="144" customWidth="1"/>
    <col min="7715" max="7715" width="5.875" style="144" customWidth="1"/>
    <col min="7716" max="7716" width="6" style="144" customWidth="1"/>
    <col min="7717" max="7717" width="2.875" style="144" customWidth="1"/>
    <col min="7718" max="7718" width="6.875" style="144" customWidth="1"/>
    <col min="7719" max="7719" width="11.125" style="144" customWidth="1"/>
    <col min="7720" max="7720" width="5.375" style="144" customWidth="1"/>
    <col min="7721" max="7721" width="5.75" style="144" customWidth="1"/>
    <col min="7722" max="7722" width="6.125" style="144" customWidth="1"/>
    <col min="7723" max="7723" width="6" style="144" customWidth="1"/>
    <col min="7724" max="7724" width="23.375" style="144" customWidth="1"/>
    <col min="7725" max="7725" width="5" style="144" customWidth="1"/>
    <col min="7726" max="7727" width="11" style="144" customWidth="1"/>
    <col min="7728" max="7736" width="9.125" style="144" customWidth="1"/>
    <col min="7737" max="7966" width="12.125" style="144"/>
    <col min="7967" max="7967" width="9.875" style="144" customWidth="1"/>
    <col min="7968" max="7968" width="8.125" style="144" customWidth="1"/>
    <col min="7969" max="7969" width="2.875" style="144" customWidth="1"/>
    <col min="7970" max="7970" width="11.125" style="144" customWidth="1"/>
    <col min="7971" max="7971" width="5.875" style="144" customWidth="1"/>
    <col min="7972" max="7972" width="6" style="144" customWidth="1"/>
    <col min="7973" max="7973" width="2.875" style="144" customWidth="1"/>
    <col min="7974" max="7974" width="6.875" style="144" customWidth="1"/>
    <col min="7975" max="7975" width="11.125" style="144" customWidth="1"/>
    <col min="7976" max="7976" width="5.375" style="144" customWidth="1"/>
    <col min="7977" max="7977" width="5.75" style="144" customWidth="1"/>
    <col min="7978" max="7978" width="6.125" style="144" customWidth="1"/>
    <col min="7979" max="7979" width="6" style="144" customWidth="1"/>
    <col min="7980" max="7980" width="23.375" style="144" customWidth="1"/>
    <col min="7981" max="7981" width="5" style="144" customWidth="1"/>
    <col min="7982" max="7983" width="11" style="144" customWidth="1"/>
    <col min="7984" max="7992" width="9.125" style="144" customWidth="1"/>
    <col min="7993" max="8222" width="12.125" style="144"/>
    <col min="8223" max="8223" width="9.875" style="144" customWidth="1"/>
    <col min="8224" max="8224" width="8.125" style="144" customWidth="1"/>
    <col min="8225" max="8225" width="2.875" style="144" customWidth="1"/>
    <col min="8226" max="8226" width="11.125" style="144" customWidth="1"/>
    <col min="8227" max="8227" width="5.875" style="144" customWidth="1"/>
    <col min="8228" max="8228" width="6" style="144" customWidth="1"/>
    <col min="8229" max="8229" width="2.875" style="144" customWidth="1"/>
    <col min="8230" max="8230" width="6.875" style="144" customWidth="1"/>
    <col min="8231" max="8231" width="11.125" style="144" customWidth="1"/>
    <col min="8232" max="8232" width="5.375" style="144" customWidth="1"/>
    <col min="8233" max="8233" width="5.75" style="144" customWidth="1"/>
    <col min="8234" max="8234" width="6.125" style="144" customWidth="1"/>
    <col min="8235" max="8235" width="6" style="144" customWidth="1"/>
    <col min="8236" max="8236" width="23.375" style="144" customWidth="1"/>
    <col min="8237" max="8237" width="5" style="144" customWidth="1"/>
    <col min="8238" max="8239" width="11" style="144" customWidth="1"/>
    <col min="8240" max="8248" width="9.125" style="144" customWidth="1"/>
    <col min="8249" max="8478" width="12.125" style="144"/>
    <col min="8479" max="8479" width="9.875" style="144" customWidth="1"/>
    <col min="8480" max="8480" width="8.125" style="144" customWidth="1"/>
    <col min="8481" max="8481" width="2.875" style="144" customWidth="1"/>
    <col min="8482" max="8482" width="11.125" style="144" customWidth="1"/>
    <col min="8483" max="8483" width="5.875" style="144" customWidth="1"/>
    <col min="8484" max="8484" width="6" style="144" customWidth="1"/>
    <col min="8485" max="8485" width="2.875" style="144" customWidth="1"/>
    <col min="8486" max="8486" width="6.875" style="144" customWidth="1"/>
    <col min="8487" max="8487" width="11.125" style="144" customWidth="1"/>
    <col min="8488" max="8488" width="5.375" style="144" customWidth="1"/>
    <col min="8489" max="8489" width="5.75" style="144" customWidth="1"/>
    <col min="8490" max="8490" width="6.125" style="144" customWidth="1"/>
    <col min="8491" max="8491" width="6" style="144" customWidth="1"/>
    <col min="8492" max="8492" width="23.375" style="144" customWidth="1"/>
    <col min="8493" max="8493" width="5" style="144" customWidth="1"/>
    <col min="8494" max="8495" width="11" style="144" customWidth="1"/>
    <col min="8496" max="8504" width="9.125" style="144" customWidth="1"/>
    <col min="8505" max="8734" width="12.125" style="144"/>
    <col min="8735" max="8735" width="9.875" style="144" customWidth="1"/>
    <col min="8736" max="8736" width="8.125" style="144" customWidth="1"/>
    <col min="8737" max="8737" width="2.875" style="144" customWidth="1"/>
    <col min="8738" max="8738" width="11.125" style="144" customWidth="1"/>
    <col min="8739" max="8739" width="5.875" style="144" customWidth="1"/>
    <col min="8740" max="8740" width="6" style="144" customWidth="1"/>
    <col min="8741" max="8741" width="2.875" style="144" customWidth="1"/>
    <col min="8742" max="8742" width="6.875" style="144" customWidth="1"/>
    <col min="8743" max="8743" width="11.125" style="144" customWidth="1"/>
    <col min="8744" max="8744" width="5.375" style="144" customWidth="1"/>
    <col min="8745" max="8745" width="5.75" style="144" customWidth="1"/>
    <col min="8746" max="8746" width="6.125" style="144" customWidth="1"/>
    <col min="8747" max="8747" width="6" style="144" customWidth="1"/>
    <col min="8748" max="8748" width="23.375" style="144" customWidth="1"/>
    <col min="8749" max="8749" width="5" style="144" customWidth="1"/>
    <col min="8750" max="8751" width="11" style="144" customWidth="1"/>
    <col min="8752" max="8760" width="9.125" style="144" customWidth="1"/>
    <col min="8761" max="8990" width="12.125" style="144"/>
    <col min="8991" max="8991" width="9.875" style="144" customWidth="1"/>
    <col min="8992" max="8992" width="8.125" style="144" customWidth="1"/>
    <col min="8993" max="8993" width="2.875" style="144" customWidth="1"/>
    <col min="8994" max="8994" width="11.125" style="144" customWidth="1"/>
    <col min="8995" max="8995" width="5.875" style="144" customWidth="1"/>
    <col min="8996" max="8996" width="6" style="144" customWidth="1"/>
    <col min="8997" max="8997" width="2.875" style="144" customWidth="1"/>
    <col min="8998" max="8998" width="6.875" style="144" customWidth="1"/>
    <col min="8999" max="8999" width="11.125" style="144" customWidth="1"/>
    <col min="9000" max="9000" width="5.375" style="144" customWidth="1"/>
    <col min="9001" max="9001" width="5.75" style="144" customWidth="1"/>
    <col min="9002" max="9002" width="6.125" style="144" customWidth="1"/>
    <col min="9003" max="9003" width="6" style="144" customWidth="1"/>
    <col min="9004" max="9004" width="23.375" style="144" customWidth="1"/>
    <col min="9005" max="9005" width="5" style="144" customWidth="1"/>
    <col min="9006" max="9007" width="11" style="144" customWidth="1"/>
    <col min="9008" max="9016" width="9.125" style="144" customWidth="1"/>
    <col min="9017" max="9246" width="12.125" style="144"/>
    <col min="9247" max="9247" width="9.875" style="144" customWidth="1"/>
    <col min="9248" max="9248" width="8.125" style="144" customWidth="1"/>
    <col min="9249" max="9249" width="2.875" style="144" customWidth="1"/>
    <col min="9250" max="9250" width="11.125" style="144" customWidth="1"/>
    <col min="9251" max="9251" width="5.875" style="144" customWidth="1"/>
    <col min="9252" max="9252" width="6" style="144" customWidth="1"/>
    <col min="9253" max="9253" width="2.875" style="144" customWidth="1"/>
    <col min="9254" max="9254" width="6.875" style="144" customWidth="1"/>
    <col min="9255" max="9255" width="11.125" style="144" customWidth="1"/>
    <col min="9256" max="9256" width="5.375" style="144" customWidth="1"/>
    <col min="9257" max="9257" width="5.75" style="144" customWidth="1"/>
    <col min="9258" max="9258" width="6.125" style="144" customWidth="1"/>
    <col min="9259" max="9259" width="6" style="144" customWidth="1"/>
    <col min="9260" max="9260" width="23.375" style="144" customWidth="1"/>
    <col min="9261" max="9261" width="5" style="144" customWidth="1"/>
    <col min="9262" max="9263" width="11" style="144" customWidth="1"/>
    <col min="9264" max="9272" width="9.125" style="144" customWidth="1"/>
    <col min="9273" max="9502" width="12.125" style="144"/>
    <col min="9503" max="9503" width="9.875" style="144" customWidth="1"/>
    <col min="9504" max="9504" width="8.125" style="144" customWidth="1"/>
    <col min="9505" max="9505" width="2.875" style="144" customWidth="1"/>
    <col min="9506" max="9506" width="11.125" style="144" customWidth="1"/>
    <col min="9507" max="9507" width="5.875" style="144" customWidth="1"/>
    <col min="9508" max="9508" width="6" style="144" customWidth="1"/>
    <col min="9509" max="9509" width="2.875" style="144" customWidth="1"/>
    <col min="9510" max="9510" width="6.875" style="144" customWidth="1"/>
    <col min="9511" max="9511" width="11.125" style="144" customWidth="1"/>
    <col min="9512" max="9512" width="5.375" style="144" customWidth="1"/>
    <col min="9513" max="9513" width="5.75" style="144" customWidth="1"/>
    <col min="9514" max="9514" width="6.125" style="144" customWidth="1"/>
    <col min="9515" max="9515" width="6" style="144" customWidth="1"/>
    <col min="9516" max="9516" width="23.375" style="144" customWidth="1"/>
    <col min="9517" max="9517" width="5" style="144" customWidth="1"/>
    <col min="9518" max="9519" width="11" style="144" customWidth="1"/>
    <col min="9520" max="9528" width="9.125" style="144" customWidth="1"/>
    <col min="9529" max="9758" width="12.125" style="144"/>
    <col min="9759" max="9759" width="9.875" style="144" customWidth="1"/>
    <col min="9760" max="9760" width="8.125" style="144" customWidth="1"/>
    <col min="9761" max="9761" width="2.875" style="144" customWidth="1"/>
    <col min="9762" max="9762" width="11.125" style="144" customWidth="1"/>
    <col min="9763" max="9763" width="5.875" style="144" customWidth="1"/>
    <col min="9764" max="9764" width="6" style="144" customWidth="1"/>
    <col min="9765" max="9765" width="2.875" style="144" customWidth="1"/>
    <col min="9766" max="9766" width="6.875" style="144" customWidth="1"/>
    <col min="9767" max="9767" width="11.125" style="144" customWidth="1"/>
    <col min="9768" max="9768" width="5.375" style="144" customWidth="1"/>
    <col min="9769" max="9769" width="5.75" style="144" customWidth="1"/>
    <col min="9770" max="9770" width="6.125" style="144" customWidth="1"/>
    <col min="9771" max="9771" width="6" style="144" customWidth="1"/>
    <col min="9772" max="9772" width="23.375" style="144" customWidth="1"/>
    <col min="9773" max="9773" width="5" style="144" customWidth="1"/>
    <col min="9774" max="9775" width="11" style="144" customWidth="1"/>
    <col min="9776" max="9784" width="9.125" style="144" customWidth="1"/>
    <col min="9785" max="10014" width="12.125" style="144"/>
    <col min="10015" max="10015" width="9.875" style="144" customWidth="1"/>
    <col min="10016" max="10016" width="8.125" style="144" customWidth="1"/>
    <col min="10017" max="10017" width="2.875" style="144" customWidth="1"/>
    <col min="10018" max="10018" width="11.125" style="144" customWidth="1"/>
    <col min="10019" max="10019" width="5.875" style="144" customWidth="1"/>
    <col min="10020" max="10020" width="6" style="144" customWidth="1"/>
    <col min="10021" max="10021" width="2.875" style="144" customWidth="1"/>
    <col min="10022" max="10022" width="6.875" style="144" customWidth="1"/>
    <col min="10023" max="10023" width="11.125" style="144" customWidth="1"/>
    <col min="10024" max="10024" width="5.375" style="144" customWidth="1"/>
    <col min="10025" max="10025" width="5.75" style="144" customWidth="1"/>
    <col min="10026" max="10026" width="6.125" style="144" customWidth="1"/>
    <col min="10027" max="10027" width="6" style="144" customWidth="1"/>
    <col min="10028" max="10028" width="23.375" style="144" customWidth="1"/>
    <col min="10029" max="10029" width="5" style="144" customWidth="1"/>
    <col min="10030" max="10031" width="11" style="144" customWidth="1"/>
    <col min="10032" max="10040" width="9.125" style="144" customWidth="1"/>
    <col min="10041" max="10270" width="12.125" style="144"/>
    <col min="10271" max="10271" width="9.875" style="144" customWidth="1"/>
    <col min="10272" max="10272" width="8.125" style="144" customWidth="1"/>
    <col min="10273" max="10273" width="2.875" style="144" customWidth="1"/>
    <col min="10274" max="10274" width="11.125" style="144" customWidth="1"/>
    <col min="10275" max="10275" width="5.875" style="144" customWidth="1"/>
    <col min="10276" max="10276" width="6" style="144" customWidth="1"/>
    <col min="10277" max="10277" width="2.875" style="144" customWidth="1"/>
    <col min="10278" max="10278" width="6.875" style="144" customWidth="1"/>
    <col min="10279" max="10279" width="11.125" style="144" customWidth="1"/>
    <col min="10280" max="10280" width="5.375" style="144" customWidth="1"/>
    <col min="10281" max="10281" width="5.75" style="144" customWidth="1"/>
    <col min="10282" max="10282" width="6.125" style="144" customWidth="1"/>
    <col min="10283" max="10283" width="6" style="144" customWidth="1"/>
    <col min="10284" max="10284" width="23.375" style="144" customWidth="1"/>
    <col min="10285" max="10285" width="5" style="144" customWidth="1"/>
    <col min="10286" max="10287" width="11" style="144" customWidth="1"/>
    <col min="10288" max="10296" width="9.125" style="144" customWidth="1"/>
    <col min="10297" max="10526" width="12.125" style="144"/>
    <col min="10527" max="10527" width="9.875" style="144" customWidth="1"/>
    <col min="10528" max="10528" width="8.125" style="144" customWidth="1"/>
    <col min="10529" max="10529" width="2.875" style="144" customWidth="1"/>
    <col min="10530" max="10530" width="11.125" style="144" customWidth="1"/>
    <col min="10531" max="10531" width="5.875" style="144" customWidth="1"/>
    <col min="10532" max="10532" width="6" style="144" customWidth="1"/>
    <col min="10533" max="10533" width="2.875" style="144" customWidth="1"/>
    <col min="10534" max="10534" width="6.875" style="144" customWidth="1"/>
    <col min="10535" max="10535" width="11.125" style="144" customWidth="1"/>
    <col min="10536" max="10536" width="5.375" style="144" customWidth="1"/>
    <col min="10537" max="10537" width="5.75" style="144" customWidth="1"/>
    <col min="10538" max="10538" width="6.125" style="144" customWidth="1"/>
    <col min="10539" max="10539" width="6" style="144" customWidth="1"/>
    <col min="10540" max="10540" width="23.375" style="144" customWidth="1"/>
    <col min="10541" max="10541" width="5" style="144" customWidth="1"/>
    <col min="10542" max="10543" width="11" style="144" customWidth="1"/>
    <col min="10544" max="10552" width="9.125" style="144" customWidth="1"/>
    <col min="10553" max="10782" width="12.125" style="144"/>
    <col min="10783" max="10783" width="9.875" style="144" customWidth="1"/>
    <col min="10784" max="10784" width="8.125" style="144" customWidth="1"/>
    <col min="10785" max="10785" width="2.875" style="144" customWidth="1"/>
    <col min="10786" max="10786" width="11.125" style="144" customWidth="1"/>
    <col min="10787" max="10787" width="5.875" style="144" customWidth="1"/>
    <col min="10788" max="10788" width="6" style="144" customWidth="1"/>
    <col min="10789" max="10789" width="2.875" style="144" customWidth="1"/>
    <col min="10790" max="10790" width="6.875" style="144" customWidth="1"/>
    <col min="10791" max="10791" width="11.125" style="144" customWidth="1"/>
    <col min="10792" max="10792" width="5.375" style="144" customWidth="1"/>
    <col min="10793" max="10793" width="5.75" style="144" customWidth="1"/>
    <col min="10794" max="10794" width="6.125" style="144" customWidth="1"/>
    <col min="10795" max="10795" width="6" style="144" customWidth="1"/>
    <col min="10796" max="10796" width="23.375" style="144" customWidth="1"/>
    <col min="10797" max="10797" width="5" style="144" customWidth="1"/>
    <col min="10798" max="10799" width="11" style="144" customWidth="1"/>
    <col min="10800" max="10808" width="9.125" style="144" customWidth="1"/>
    <col min="10809" max="11038" width="12.125" style="144"/>
    <col min="11039" max="11039" width="9.875" style="144" customWidth="1"/>
    <col min="11040" max="11040" width="8.125" style="144" customWidth="1"/>
    <col min="11041" max="11041" width="2.875" style="144" customWidth="1"/>
    <col min="11042" max="11042" width="11.125" style="144" customWidth="1"/>
    <col min="11043" max="11043" width="5.875" style="144" customWidth="1"/>
    <col min="11044" max="11044" width="6" style="144" customWidth="1"/>
    <col min="11045" max="11045" width="2.875" style="144" customWidth="1"/>
    <col min="11046" max="11046" width="6.875" style="144" customWidth="1"/>
    <col min="11047" max="11047" width="11.125" style="144" customWidth="1"/>
    <col min="11048" max="11048" width="5.375" style="144" customWidth="1"/>
    <col min="11049" max="11049" width="5.75" style="144" customWidth="1"/>
    <col min="11050" max="11050" width="6.125" style="144" customWidth="1"/>
    <col min="11051" max="11051" width="6" style="144" customWidth="1"/>
    <col min="11052" max="11052" width="23.375" style="144" customWidth="1"/>
    <col min="11053" max="11053" width="5" style="144" customWidth="1"/>
    <col min="11054" max="11055" width="11" style="144" customWidth="1"/>
    <col min="11056" max="11064" width="9.125" style="144" customWidth="1"/>
    <col min="11065" max="11294" width="12.125" style="144"/>
    <col min="11295" max="11295" width="9.875" style="144" customWidth="1"/>
    <col min="11296" max="11296" width="8.125" style="144" customWidth="1"/>
    <col min="11297" max="11297" width="2.875" style="144" customWidth="1"/>
    <col min="11298" max="11298" width="11.125" style="144" customWidth="1"/>
    <col min="11299" max="11299" width="5.875" style="144" customWidth="1"/>
    <col min="11300" max="11300" width="6" style="144" customWidth="1"/>
    <col min="11301" max="11301" width="2.875" style="144" customWidth="1"/>
    <col min="11302" max="11302" width="6.875" style="144" customWidth="1"/>
    <col min="11303" max="11303" width="11.125" style="144" customWidth="1"/>
    <col min="11304" max="11304" width="5.375" style="144" customWidth="1"/>
    <col min="11305" max="11305" width="5.75" style="144" customWidth="1"/>
    <col min="11306" max="11306" width="6.125" style="144" customWidth="1"/>
    <col min="11307" max="11307" width="6" style="144" customWidth="1"/>
    <col min="11308" max="11308" width="23.375" style="144" customWidth="1"/>
    <col min="11309" max="11309" width="5" style="144" customWidth="1"/>
    <col min="11310" max="11311" width="11" style="144" customWidth="1"/>
    <col min="11312" max="11320" width="9.125" style="144" customWidth="1"/>
    <col min="11321" max="11550" width="12.125" style="144"/>
    <col min="11551" max="11551" width="9.875" style="144" customWidth="1"/>
    <col min="11552" max="11552" width="8.125" style="144" customWidth="1"/>
    <col min="11553" max="11553" width="2.875" style="144" customWidth="1"/>
    <col min="11554" max="11554" width="11.125" style="144" customWidth="1"/>
    <col min="11555" max="11555" width="5.875" style="144" customWidth="1"/>
    <col min="11556" max="11556" width="6" style="144" customWidth="1"/>
    <col min="11557" max="11557" width="2.875" style="144" customWidth="1"/>
    <col min="11558" max="11558" width="6.875" style="144" customWidth="1"/>
    <col min="11559" max="11559" width="11.125" style="144" customWidth="1"/>
    <col min="11560" max="11560" width="5.375" style="144" customWidth="1"/>
    <col min="11561" max="11561" width="5.75" style="144" customWidth="1"/>
    <col min="11562" max="11562" width="6.125" style="144" customWidth="1"/>
    <col min="11563" max="11563" width="6" style="144" customWidth="1"/>
    <col min="11564" max="11564" width="23.375" style="144" customWidth="1"/>
    <col min="11565" max="11565" width="5" style="144" customWidth="1"/>
    <col min="11566" max="11567" width="11" style="144" customWidth="1"/>
    <col min="11568" max="11576" width="9.125" style="144" customWidth="1"/>
    <col min="11577" max="11806" width="12.125" style="144"/>
    <col min="11807" max="11807" width="9.875" style="144" customWidth="1"/>
    <col min="11808" max="11808" width="8.125" style="144" customWidth="1"/>
    <col min="11809" max="11809" width="2.875" style="144" customWidth="1"/>
    <col min="11810" max="11810" width="11.125" style="144" customWidth="1"/>
    <col min="11811" max="11811" width="5.875" style="144" customWidth="1"/>
    <col min="11812" max="11812" width="6" style="144" customWidth="1"/>
    <col min="11813" max="11813" width="2.875" style="144" customWidth="1"/>
    <col min="11814" max="11814" width="6.875" style="144" customWidth="1"/>
    <col min="11815" max="11815" width="11.125" style="144" customWidth="1"/>
    <col min="11816" max="11816" width="5.375" style="144" customWidth="1"/>
    <col min="11817" max="11817" width="5.75" style="144" customWidth="1"/>
    <col min="11818" max="11818" width="6.125" style="144" customWidth="1"/>
    <col min="11819" max="11819" width="6" style="144" customWidth="1"/>
    <col min="11820" max="11820" width="23.375" style="144" customWidth="1"/>
    <col min="11821" max="11821" width="5" style="144" customWidth="1"/>
    <col min="11822" max="11823" width="11" style="144" customWidth="1"/>
    <col min="11824" max="11832" width="9.125" style="144" customWidth="1"/>
    <col min="11833" max="12062" width="12.125" style="144"/>
    <col min="12063" max="12063" width="9.875" style="144" customWidth="1"/>
    <col min="12064" max="12064" width="8.125" style="144" customWidth="1"/>
    <col min="12065" max="12065" width="2.875" style="144" customWidth="1"/>
    <col min="12066" max="12066" width="11.125" style="144" customWidth="1"/>
    <col min="12067" max="12067" width="5.875" style="144" customWidth="1"/>
    <col min="12068" max="12068" width="6" style="144" customWidth="1"/>
    <col min="12069" max="12069" width="2.875" style="144" customWidth="1"/>
    <col min="12070" max="12070" width="6.875" style="144" customWidth="1"/>
    <col min="12071" max="12071" width="11.125" style="144" customWidth="1"/>
    <col min="12072" max="12072" width="5.375" style="144" customWidth="1"/>
    <col min="12073" max="12073" width="5.75" style="144" customWidth="1"/>
    <col min="12074" max="12074" width="6.125" style="144" customWidth="1"/>
    <col min="12075" max="12075" width="6" style="144" customWidth="1"/>
    <col min="12076" max="12076" width="23.375" style="144" customWidth="1"/>
    <col min="12077" max="12077" width="5" style="144" customWidth="1"/>
    <col min="12078" max="12079" width="11" style="144" customWidth="1"/>
    <col min="12080" max="12088" width="9.125" style="144" customWidth="1"/>
    <col min="12089" max="12318" width="12.125" style="144"/>
    <col min="12319" max="12319" width="9.875" style="144" customWidth="1"/>
    <col min="12320" max="12320" width="8.125" style="144" customWidth="1"/>
    <col min="12321" max="12321" width="2.875" style="144" customWidth="1"/>
    <col min="12322" max="12322" width="11.125" style="144" customWidth="1"/>
    <col min="12323" max="12323" width="5.875" style="144" customWidth="1"/>
    <col min="12324" max="12324" width="6" style="144" customWidth="1"/>
    <col min="12325" max="12325" width="2.875" style="144" customWidth="1"/>
    <col min="12326" max="12326" width="6.875" style="144" customWidth="1"/>
    <col min="12327" max="12327" width="11.125" style="144" customWidth="1"/>
    <col min="12328" max="12328" width="5.375" style="144" customWidth="1"/>
    <col min="12329" max="12329" width="5.75" style="144" customWidth="1"/>
    <col min="12330" max="12330" width="6.125" style="144" customWidth="1"/>
    <col min="12331" max="12331" width="6" style="144" customWidth="1"/>
    <col min="12332" max="12332" width="23.375" style="144" customWidth="1"/>
    <col min="12333" max="12333" width="5" style="144" customWidth="1"/>
    <col min="12334" max="12335" width="11" style="144" customWidth="1"/>
    <col min="12336" max="12344" width="9.125" style="144" customWidth="1"/>
    <col min="12345" max="12574" width="12.125" style="144"/>
    <col min="12575" max="12575" width="9.875" style="144" customWidth="1"/>
    <col min="12576" max="12576" width="8.125" style="144" customWidth="1"/>
    <col min="12577" max="12577" width="2.875" style="144" customWidth="1"/>
    <col min="12578" max="12578" width="11.125" style="144" customWidth="1"/>
    <col min="12579" max="12579" width="5.875" style="144" customWidth="1"/>
    <col min="12580" max="12580" width="6" style="144" customWidth="1"/>
    <col min="12581" max="12581" width="2.875" style="144" customWidth="1"/>
    <col min="12582" max="12582" width="6.875" style="144" customWidth="1"/>
    <col min="12583" max="12583" width="11.125" style="144" customWidth="1"/>
    <col min="12584" max="12584" width="5.375" style="144" customWidth="1"/>
    <col min="12585" max="12585" width="5.75" style="144" customWidth="1"/>
    <col min="12586" max="12586" width="6.125" style="144" customWidth="1"/>
    <col min="12587" max="12587" width="6" style="144" customWidth="1"/>
    <col min="12588" max="12588" width="23.375" style="144" customWidth="1"/>
    <col min="12589" max="12589" width="5" style="144" customWidth="1"/>
    <col min="12590" max="12591" width="11" style="144" customWidth="1"/>
    <col min="12592" max="12600" width="9.125" style="144" customWidth="1"/>
    <col min="12601" max="12830" width="12.125" style="144"/>
    <col min="12831" max="12831" width="9.875" style="144" customWidth="1"/>
    <col min="12832" max="12832" width="8.125" style="144" customWidth="1"/>
    <col min="12833" max="12833" width="2.875" style="144" customWidth="1"/>
    <col min="12834" max="12834" width="11.125" style="144" customWidth="1"/>
    <col min="12835" max="12835" width="5.875" style="144" customWidth="1"/>
    <col min="12836" max="12836" width="6" style="144" customWidth="1"/>
    <col min="12837" max="12837" width="2.875" style="144" customWidth="1"/>
    <col min="12838" max="12838" width="6.875" style="144" customWidth="1"/>
    <col min="12839" max="12839" width="11.125" style="144" customWidth="1"/>
    <col min="12840" max="12840" width="5.375" style="144" customWidth="1"/>
    <col min="12841" max="12841" width="5.75" style="144" customWidth="1"/>
    <col min="12842" max="12842" width="6.125" style="144" customWidth="1"/>
    <col min="12843" max="12843" width="6" style="144" customWidth="1"/>
    <col min="12844" max="12844" width="23.375" style="144" customWidth="1"/>
    <col min="12845" max="12845" width="5" style="144" customWidth="1"/>
    <col min="12846" max="12847" width="11" style="144" customWidth="1"/>
    <col min="12848" max="12856" width="9.125" style="144" customWidth="1"/>
    <col min="12857" max="13086" width="12.125" style="144"/>
    <col min="13087" max="13087" width="9.875" style="144" customWidth="1"/>
    <col min="13088" max="13088" width="8.125" style="144" customWidth="1"/>
    <col min="13089" max="13089" width="2.875" style="144" customWidth="1"/>
    <col min="13090" max="13090" width="11.125" style="144" customWidth="1"/>
    <col min="13091" max="13091" width="5.875" style="144" customWidth="1"/>
    <col min="13092" max="13092" width="6" style="144" customWidth="1"/>
    <col min="13093" max="13093" width="2.875" style="144" customWidth="1"/>
    <col min="13094" max="13094" width="6.875" style="144" customWidth="1"/>
    <col min="13095" max="13095" width="11.125" style="144" customWidth="1"/>
    <col min="13096" max="13096" width="5.375" style="144" customWidth="1"/>
    <col min="13097" max="13097" width="5.75" style="144" customWidth="1"/>
    <col min="13098" max="13098" width="6.125" style="144" customWidth="1"/>
    <col min="13099" max="13099" width="6" style="144" customWidth="1"/>
    <col min="13100" max="13100" width="23.375" style="144" customWidth="1"/>
    <col min="13101" max="13101" width="5" style="144" customWidth="1"/>
    <col min="13102" max="13103" width="11" style="144" customWidth="1"/>
    <col min="13104" max="13112" width="9.125" style="144" customWidth="1"/>
    <col min="13113" max="13342" width="12.125" style="144"/>
    <col min="13343" max="13343" width="9.875" style="144" customWidth="1"/>
    <col min="13344" max="13344" width="8.125" style="144" customWidth="1"/>
    <col min="13345" max="13345" width="2.875" style="144" customWidth="1"/>
    <col min="13346" max="13346" width="11.125" style="144" customWidth="1"/>
    <col min="13347" max="13347" width="5.875" style="144" customWidth="1"/>
    <col min="13348" max="13348" width="6" style="144" customWidth="1"/>
    <col min="13349" max="13349" width="2.875" style="144" customWidth="1"/>
    <col min="13350" max="13350" width="6.875" style="144" customWidth="1"/>
    <col min="13351" max="13351" width="11.125" style="144" customWidth="1"/>
    <col min="13352" max="13352" width="5.375" style="144" customWidth="1"/>
    <col min="13353" max="13353" width="5.75" style="144" customWidth="1"/>
    <col min="13354" max="13354" width="6.125" style="144" customWidth="1"/>
    <col min="13355" max="13355" width="6" style="144" customWidth="1"/>
    <col min="13356" max="13356" width="23.375" style="144" customWidth="1"/>
    <col min="13357" max="13357" width="5" style="144" customWidth="1"/>
    <col min="13358" max="13359" width="11" style="144" customWidth="1"/>
    <col min="13360" max="13368" width="9.125" style="144" customWidth="1"/>
    <col min="13369" max="13598" width="12.125" style="144"/>
    <col min="13599" max="13599" width="9.875" style="144" customWidth="1"/>
    <col min="13600" max="13600" width="8.125" style="144" customWidth="1"/>
    <col min="13601" max="13601" width="2.875" style="144" customWidth="1"/>
    <col min="13602" max="13602" width="11.125" style="144" customWidth="1"/>
    <col min="13603" max="13603" width="5.875" style="144" customWidth="1"/>
    <col min="13604" max="13604" width="6" style="144" customWidth="1"/>
    <col min="13605" max="13605" width="2.875" style="144" customWidth="1"/>
    <col min="13606" max="13606" width="6.875" style="144" customWidth="1"/>
    <col min="13607" max="13607" width="11.125" style="144" customWidth="1"/>
    <col min="13608" max="13608" width="5.375" style="144" customWidth="1"/>
    <col min="13609" max="13609" width="5.75" style="144" customWidth="1"/>
    <col min="13610" max="13610" width="6.125" style="144" customWidth="1"/>
    <col min="13611" max="13611" width="6" style="144" customWidth="1"/>
    <col min="13612" max="13612" width="23.375" style="144" customWidth="1"/>
    <col min="13613" max="13613" width="5" style="144" customWidth="1"/>
    <col min="13614" max="13615" width="11" style="144" customWidth="1"/>
    <col min="13616" max="13624" width="9.125" style="144" customWidth="1"/>
    <col min="13625" max="13854" width="12.125" style="144"/>
    <col min="13855" max="13855" width="9.875" style="144" customWidth="1"/>
    <col min="13856" max="13856" width="8.125" style="144" customWidth="1"/>
    <col min="13857" max="13857" width="2.875" style="144" customWidth="1"/>
    <col min="13858" max="13858" width="11.125" style="144" customWidth="1"/>
    <col min="13859" max="13859" width="5.875" style="144" customWidth="1"/>
    <col min="13860" max="13860" width="6" style="144" customWidth="1"/>
    <col min="13861" max="13861" width="2.875" style="144" customWidth="1"/>
    <col min="13862" max="13862" width="6.875" style="144" customWidth="1"/>
    <col min="13863" max="13863" width="11.125" style="144" customWidth="1"/>
    <col min="13864" max="13864" width="5.375" style="144" customWidth="1"/>
    <col min="13865" max="13865" width="5.75" style="144" customWidth="1"/>
    <col min="13866" max="13866" width="6.125" style="144" customWidth="1"/>
    <col min="13867" max="13867" width="6" style="144" customWidth="1"/>
    <col min="13868" max="13868" width="23.375" style="144" customWidth="1"/>
    <col min="13869" max="13869" width="5" style="144" customWidth="1"/>
    <col min="13870" max="13871" width="11" style="144" customWidth="1"/>
    <col min="13872" max="13880" width="9.125" style="144" customWidth="1"/>
    <col min="13881" max="14110" width="12.125" style="144"/>
    <col min="14111" max="14111" width="9.875" style="144" customWidth="1"/>
    <col min="14112" max="14112" width="8.125" style="144" customWidth="1"/>
    <col min="14113" max="14113" width="2.875" style="144" customWidth="1"/>
    <col min="14114" max="14114" width="11.125" style="144" customWidth="1"/>
    <col min="14115" max="14115" width="5.875" style="144" customWidth="1"/>
    <col min="14116" max="14116" width="6" style="144" customWidth="1"/>
    <col min="14117" max="14117" width="2.875" style="144" customWidth="1"/>
    <col min="14118" max="14118" width="6.875" style="144" customWidth="1"/>
    <col min="14119" max="14119" width="11.125" style="144" customWidth="1"/>
    <col min="14120" max="14120" width="5.375" style="144" customWidth="1"/>
    <col min="14121" max="14121" width="5.75" style="144" customWidth="1"/>
    <col min="14122" max="14122" width="6.125" style="144" customWidth="1"/>
    <col min="14123" max="14123" width="6" style="144" customWidth="1"/>
    <col min="14124" max="14124" width="23.375" style="144" customWidth="1"/>
    <col min="14125" max="14125" width="5" style="144" customWidth="1"/>
    <col min="14126" max="14127" width="11" style="144" customWidth="1"/>
    <col min="14128" max="14136" width="9.125" style="144" customWidth="1"/>
    <col min="14137" max="14366" width="12.125" style="144"/>
    <col min="14367" max="14367" width="9.875" style="144" customWidth="1"/>
    <col min="14368" max="14368" width="8.125" style="144" customWidth="1"/>
    <col min="14369" max="14369" width="2.875" style="144" customWidth="1"/>
    <col min="14370" max="14370" width="11.125" style="144" customWidth="1"/>
    <col min="14371" max="14371" width="5.875" style="144" customWidth="1"/>
    <col min="14372" max="14372" width="6" style="144" customWidth="1"/>
    <col min="14373" max="14373" width="2.875" style="144" customWidth="1"/>
    <col min="14374" max="14374" width="6.875" style="144" customWidth="1"/>
    <col min="14375" max="14375" width="11.125" style="144" customWidth="1"/>
    <col min="14376" max="14376" width="5.375" style="144" customWidth="1"/>
    <col min="14377" max="14377" width="5.75" style="144" customWidth="1"/>
    <col min="14378" max="14378" width="6.125" style="144" customWidth="1"/>
    <col min="14379" max="14379" width="6" style="144" customWidth="1"/>
    <col min="14380" max="14380" width="23.375" style="144" customWidth="1"/>
    <col min="14381" max="14381" width="5" style="144" customWidth="1"/>
    <col min="14382" max="14383" width="11" style="144" customWidth="1"/>
    <col min="14384" max="14392" width="9.125" style="144" customWidth="1"/>
    <col min="14393" max="14622" width="12.125" style="144"/>
    <col min="14623" max="14623" width="9.875" style="144" customWidth="1"/>
    <col min="14624" max="14624" width="8.125" style="144" customWidth="1"/>
    <col min="14625" max="14625" width="2.875" style="144" customWidth="1"/>
    <col min="14626" max="14626" width="11.125" style="144" customWidth="1"/>
    <col min="14627" max="14627" width="5.875" style="144" customWidth="1"/>
    <col min="14628" max="14628" width="6" style="144" customWidth="1"/>
    <col min="14629" max="14629" width="2.875" style="144" customWidth="1"/>
    <col min="14630" max="14630" width="6.875" style="144" customWidth="1"/>
    <col min="14631" max="14631" width="11.125" style="144" customWidth="1"/>
    <col min="14632" max="14632" width="5.375" style="144" customWidth="1"/>
    <col min="14633" max="14633" width="5.75" style="144" customWidth="1"/>
    <col min="14634" max="14634" width="6.125" style="144" customWidth="1"/>
    <col min="14635" max="14635" width="6" style="144" customWidth="1"/>
    <col min="14636" max="14636" width="23.375" style="144" customWidth="1"/>
    <col min="14637" max="14637" width="5" style="144" customWidth="1"/>
    <col min="14638" max="14639" width="11" style="144" customWidth="1"/>
    <col min="14640" max="14648" width="9.125" style="144" customWidth="1"/>
    <col min="14649" max="14878" width="12.125" style="144"/>
    <col min="14879" max="14879" width="9.875" style="144" customWidth="1"/>
    <col min="14880" max="14880" width="8.125" style="144" customWidth="1"/>
    <col min="14881" max="14881" width="2.875" style="144" customWidth="1"/>
    <col min="14882" max="14882" width="11.125" style="144" customWidth="1"/>
    <col min="14883" max="14883" width="5.875" style="144" customWidth="1"/>
    <col min="14884" max="14884" width="6" style="144" customWidth="1"/>
    <col min="14885" max="14885" width="2.875" style="144" customWidth="1"/>
    <col min="14886" max="14886" width="6.875" style="144" customWidth="1"/>
    <col min="14887" max="14887" width="11.125" style="144" customWidth="1"/>
    <col min="14888" max="14888" width="5.375" style="144" customWidth="1"/>
    <col min="14889" max="14889" width="5.75" style="144" customWidth="1"/>
    <col min="14890" max="14890" width="6.125" style="144" customWidth="1"/>
    <col min="14891" max="14891" width="6" style="144" customWidth="1"/>
    <col min="14892" max="14892" width="23.375" style="144" customWidth="1"/>
    <col min="14893" max="14893" width="5" style="144" customWidth="1"/>
    <col min="14894" max="14895" width="11" style="144" customWidth="1"/>
    <col min="14896" max="14904" width="9.125" style="144" customWidth="1"/>
    <col min="14905" max="15134" width="12.125" style="144"/>
    <col min="15135" max="15135" width="9.875" style="144" customWidth="1"/>
    <col min="15136" max="15136" width="8.125" style="144" customWidth="1"/>
    <col min="15137" max="15137" width="2.875" style="144" customWidth="1"/>
    <col min="15138" max="15138" width="11.125" style="144" customWidth="1"/>
    <col min="15139" max="15139" width="5.875" style="144" customWidth="1"/>
    <col min="15140" max="15140" width="6" style="144" customWidth="1"/>
    <col min="15141" max="15141" width="2.875" style="144" customWidth="1"/>
    <col min="15142" max="15142" width="6.875" style="144" customWidth="1"/>
    <col min="15143" max="15143" width="11.125" style="144" customWidth="1"/>
    <col min="15144" max="15144" width="5.375" style="144" customWidth="1"/>
    <col min="15145" max="15145" width="5.75" style="144" customWidth="1"/>
    <col min="15146" max="15146" width="6.125" style="144" customWidth="1"/>
    <col min="15147" max="15147" width="6" style="144" customWidth="1"/>
    <col min="15148" max="15148" width="23.375" style="144" customWidth="1"/>
    <col min="15149" max="15149" width="5" style="144" customWidth="1"/>
    <col min="15150" max="15151" width="11" style="144" customWidth="1"/>
    <col min="15152" max="15160" width="9.125" style="144" customWidth="1"/>
    <col min="15161" max="15390" width="12.125" style="144"/>
    <col min="15391" max="15391" width="9.875" style="144" customWidth="1"/>
    <col min="15392" max="15392" width="8.125" style="144" customWidth="1"/>
    <col min="15393" max="15393" width="2.875" style="144" customWidth="1"/>
    <col min="15394" max="15394" width="11.125" style="144" customWidth="1"/>
    <col min="15395" max="15395" width="5.875" style="144" customWidth="1"/>
    <col min="15396" max="15396" width="6" style="144" customWidth="1"/>
    <col min="15397" max="15397" width="2.875" style="144" customWidth="1"/>
    <col min="15398" max="15398" width="6.875" style="144" customWidth="1"/>
    <col min="15399" max="15399" width="11.125" style="144" customWidth="1"/>
    <col min="15400" max="15400" width="5.375" style="144" customWidth="1"/>
    <col min="15401" max="15401" width="5.75" style="144" customWidth="1"/>
    <col min="15402" max="15402" width="6.125" style="144" customWidth="1"/>
    <col min="15403" max="15403" width="6" style="144" customWidth="1"/>
    <col min="15404" max="15404" width="23.375" style="144" customWidth="1"/>
    <col min="15405" max="15405" width="5" style="144" customWidth="1"/>
    <col min="15406" max="15407" width="11" style="144" customWidth="1"/>
    <col min="15408" max="15416" width="9.125" style="144" customWidth="1"/>
    <col min="15417" max="15646" width="12.125" style="144"/>
    <col min="15647" max="15647" width="9.875" style="144" customWidth="1"/>
    <col min="15648" max="15648" width="8.125" style="144" customWidth="1"/>
    <col min="15649" max="15649" width="2.875" style="144" customWidth="1"/>
    <col min="15650" max="15650" width="11.125" style="144" customWidth="1"/>
    <col min="15651" max="15651" width="5.875" style="144" customWidth="1"/>
    <col min="15652" max="15652" width="6" style="144" customWidth="1"/>
    <col min="15653" max="15653" width="2.875" style="144" customWidth="1"/>
    <col min="15654" max="15654" width="6.875" style="144" customWidth="1"/>
    <col min="15655" max="15655" width="11.125" style="144" customWidth="1"/>
    <col min="15656" max="15656" width="5.375" style="144" customWidth="1"/>
    <col min="15657" max="15657" width="5.75" style="144" customWidth="1"/>
    <col min="15658" max="15658" width="6.125" style="144" customWidth="1"/>
    <col min="15659" max="15659" width="6" style="144" customWidth="1"/>
    <col min="15660" max="15660" width="23.375" style="144" customWidth="1"/>
    <col min="15661" max="15661" width="5" style="144" customWidth="1"/>
    <col min="15662" max="15663" width="11" style="144" customWidth="1"/>
    <col min="15664" max="15672" width="9.125" style="144" customWidth="1"/>
    <col min="15673" max="15902" width="12.125" style="144"/>
    <col min="15903" max="15903" width="9.875" style="144" customWidth="1"/>
    <col min="15904" max="15904" width="8.125" style="144" customWidth="1"/>
    <col min="15905" max="15905" width="2.875" style="144" customWidth="1"/>
    <col min="15906" max="15906" width="11.125" style="144" customWidth="1"/>
    <col min="15907" max="15907" width="5.875" style="144" customWidth="1"/>
    <col min="15908" max="15908" width="6" style="144" customWidth="1"/>
    <col min="15909" max="15909" width="2.875" style="144" customWidth="1"/>
    <col min="15910" max="15910" width="6.875" style="144" customWidth="1"/>
    <col min="15911" max="15911" width="11.125" style="144" customWidth="1"/>
    <col min="15912" max="15912" width="5.375" style="144" customWidth="1"/>
    <col min="15913" max="15913" width="5.75" style="144" customWidth="1"/>
    <col min="15914" max="15914" width="6.125" style="144" customWidth="1"/>
    <col min="15915" max="15915" width="6" style="144" customWidth="1"/>
    <col min="15916" max="15916" width="23.375" style="144" customWidth="1"/>
    <col min="15917" max="15917" width="5" style="144" customWidth="1"/>
    <col min="15918" max="15919" width="11" style="144" customWidth="1"/>
    <col min="15920" max="15928" width="9.125" style="144" customWidth="1"/>
    <col min="15929" max="16158" width="12.125" style="144"/>
    <col min="16159" max="16159" width="9.875" style="144" customWidth="1"/>
    <col min="16160" max="16160" width="8.125" style="144" customWidth="1"/>
    <col min="16161" max="16161" width="2.875" style="144" customWidth="1"/>
    <col min="16162" max="16162" width="11.125" style="144" customWidth="1"/>
    <col min="16163" max="16163" width="5.875" style="144" customWidth="1"/>
    <col min="16164" max="16164" width="6" style="144" customWidth="1"/>
    <col min="16165" max="16165" width="2.875" style="144" customWidth="1"/>
    <col min="16166" max="16166" width="6.875" style="144" customWidth="1"/>
    <col min="16167" max="16167" width="11.125" style="144" customWidth="1"/>
    <col min="16168" max="16168" width="5.375" style="144" customWidth="1"/>
    <col min="16169" max="16169" width="5.75" style="144" customWidth="1"/>
    <col min="16170" max="16170" width="6.125" style="144" customWidth="1"/>
    <col min="16171" max="16171" width="6" style="144" customWidth="1"/>
    <col min="16172" max="16172" width="23.375" style="144" customWidth="1"/>
    <col min="16173" max="16173" width="5" style="144" customWidth="1"/>
    <col min="16174" max="16175" width="11" style="144" customWidth="1"/>
    <col min="16176" max="16184" width="9.125" style="144" customWidth="1"/>
    <col min="16185" max="16384" width="12.125" style="144"/>
  </cols>
  <sheetData>
    <row r="1" spans="1:56" ht="30" customHeight="1" x14ac:dyDescent="0.55000000000000004">
      <c r="A1" s="312" t="s">
        <v>81</v>
      </c>
      <c r="B1" s="145"/>
      <c r="C1" s="145"/>
      <c r="D1" s="145"/>
      <c r="E1" s="145"/>
      <c r="F1" s="310" t="s">
        <v>149</v>
      </c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145"/>
      <c r="AK1" s="145"/>
      <c r="AL1" s="145"/>
      <c r="AM1" s="145"/>
      <c r="AN1" s="145"/>
      <c r="AO1" s="145"/>
      <c r="AP1" s="145"/>
      <c r="AQ1" s="145"/>
      <c r="AR1" s="311" t="s">
        <v>148</v>
      </c>
      <c r="AS1" s="145"/>
      <c r="AT1" s="146"/>
      <c r="AU1" s="146"/>
      <c r="AV1" s="145"/>
      <c r="AW1" s="145"/>
      <c r="AX1" s="145"/>
      <c r="AY1" s="145"/>
      <c r="AZ1" s="145"/>
      <c r="BA1" s="145"/>
      <c r="BB1" s="145"/>
      <c r="BC1" s="145"/>
      <c r="BD1" s="145"/>
    </row>
    <row r="2" spans="1:56" ht="30" customHeight="1" x14ac:dyDescent="0.55000000000000004">
      <c r="A2" s="310" t="s">
        <v>147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0"/>
      <c r="AK2" s="310"/>
      <c r="AL2" s="310"/>
      <c r="AM2" s="310"/>
      <c r="AN2" s="145"/>
      <c r="AO2" s="145"/>
      <c r="AP2" s="145"/>
      <c r="AQ2" s="145"/>
      <c r="AR2" s="145"/>
      <c r="AS2" s="145"/>
      <c r="AT2" s="146"/>
      <c r="AU2" s="146"/>
      <c r="AV2" s="145"/>
      <c r="AW2" s="145"/>
      <c r="AX2" s="145"/>
      <c r="AY2" s="145"/>
      <c r="AZ2" s="145"/>
      <c r="BA2" s="145"/>
      <c r="BB2" s="145"/>
      <c r="BC2" s="145"/>
      <c r="BD2" s="145"/>
    </row>
    <row r="3" spans="1:56" ht="35.25" customHeight="1" x14ac:dyDescent="0.55000000000000004">
      <c r="A3" s="148"/>
      <c r="B3" s="309"/>
      <c r="C3" s="309"/>
      <c r="D3" s="309"/>
      <c r="E3" s="148"/>
      <c r="F3" s="148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193"/>
      <c r="X3" s="193"/>
      <c r="Y3" s="193"/>
      <c r="Z3" s="193"/>
      <c r="AA3" s="193"/>
      <c r="AB3" s="193"/>
      <c r="AC3" s="308" t="s">
        <v>146</v>
      </c>
      <c r="AD3" s="308"/>
      <c r="AE3" s="308"/>
      <c r="AF3" s="308"/>
      <c r="AG3" s="308"/>
      <c r="AH3" s="30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5"/>
      <c r="AT3" s="146"/>
      <c r="AU3" s="146"/>
      <c r="AV3" s="145"/>
      <c r="AW3" s="145"/>
      <c r="AX3" s="145"/>
      <c r="AY3" s="145"/>
      <c r="AZ3" s="145"/>
      <c r="BA3" s="145"/>
      <c r="BB3" s="145"/>
      <c r="BC3" s="145"/>
      <c r="BD3" s="145"/>
    </row>
    <row r="4" spans="1:56" ht="23.25" customHeight="1" x14ac:dyDescent="0.55000000000000004">
      <c r="A4" s="307" t="s">
        <v>145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2"/>
      <c r="AB4" s="305"/>
      <c r="AC4" s="304" t="s">
        <v>150</v>
      </c>
      <c r="AD4" s="303"/>
      <c r="AE4" s="303"/>
      <c r="AF4" s="303"/>
      <c r="AG4" s="303"/>
      <c r="AH4" s="303"/>
      <c r="AI4" s="302"/>
      <c r="AJ4" s="302"/>
      <c r="AK4" s="185"/>
      <c r="AL4" s="185"/>
      <c r="AM4" s="185"/>
      <c r="AN4" s="185"/>
      <c r="AO4" s="185"/>
      <c r="AP4" s="185"/>
      <c r="AQ4" s="185"/>
      <c r="AR4" s="184"/>
      <c r="AS4" s="145"/>
      <c r="AT4" s="146"/>
      <c r="AU4" s="146"/>
      <c r="AV4" s="145"/>
      <c r="AW4" s="145"/>
      <c r="AX4" s="145"/>
      <c r="AY4" s="145"/>
      <c r="AZ4" s="145"/>
      <c r="BA4" s="145"/>
      <c r="BB4" s="145"/>
      <c r="BC4" s="145"/>
      <c r="BD4" s="145"/>
    </row>
    <row r="5" spans="1:56" ht="26.25" customHeight="1" x14ac:dyDescent="0.55000000000000004">
      <c r="A5" s="301" t="s">
        <v>144</v>
      </c>
      <c r="B5" s="185"/>
      <c r="C5" s="185"/>
      <c r="D5" s="185"/>
      <c r="E5" s="300"/>
      <c r="F5" s="298" t="s">
        <v>143</v>
      </c>
      <c r="G5" s="298"/>
      <c r="H5" s="298"/>
      <c r="I5" s="298"/>
      <c r="J5" s="298"/>
      <c r="K5" s="298"/>
      <c r="L5" s="298"/>
      <c r="M5" s="298"/>
      <c r="N5" s="298"/>
      <c r="O5" s="297" t="s">
        <v>142</v>
      </c>
      <c r="P5" s="297"/>
      <c r="Q5" s="296" t="s">
        <v>141</v>
      </c>
      <c r="R5" s="296"/>
      <c r="S5" s="296"/>
      <c r="T5" s="296"/>
      <c r="U5" s="296"/>
      <c r="V5" s="296"/>
      <c r="W5" s="296"/>
      <c r="X5" s="296"/>
      <c r="Y5" s="296"/>
      <c r="Z5" s="296"/>
      <c r="AA5" s="299" t="s">
        <v>140</v>
      </c>
      <c r="AB5" s="299"/>
      <c r="AC5" s="298" t="s">
        <v>139</v>
      </c>
      <c r="AD5" s="298"/>
      <c r="AE5" s="185"/>
      <c r="AF5" s="297" t="s">
        <v>138</v>
      </c>
      <c r="AG5" s="297"/>
      <c r="AH5" s="297"/>
      <c r="AI5" s="296" t="s">
        <v>137</v>
      </c>
      <c r="AJ5" s="296"/>
      <c r="AK5" s="296"/>
      <c r="AL5" s="296"/>
      <c r="AM5" s="296"/>
      <c r="AN5" s="296"/>
      <c r="AO5" s="296"/>
      <c r="AP5" s="296"/>
      <c r="AQ5" s="296"/>
      <c r="AR5" s="295"/>
      <c r="AS5" s="145"/>
      <c r="AT5" s="146"/>
      <c r="AU5" s="146"/>
      <c r="AV5" s="145"/>
      <c r="AW5" s="145"/>
      <c r="AX5" s="145"/>
      <c r="AY5" s="145"/>
      <c r="AZ5" s="145"/>
      <c r="BA5" s="145"/>
      <c r="BB5" s="145"/>
      <c r="BC5" s="145"/>
      <c r="BD5" s="145"/>
    </row>
    <row r="6" spans="1:56" ht="24" customHeight="1" x14ac:dyDescent="0.55000000000000004">
      <c r="A6" s="155" t="s">
        <v>136</v>
      </c>
      <c r="B6" s="294" t="s">
        <v>135</v>
      </c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2"/>
      <c r="AS6" s="145"/>
      <c r="AT6" s="146"/>
      <c r="AU6" s="146"/>
      <c r="AV6" s="145"/>
      <c r="AW6" s="145"/>
      <c r="AX6" s="145"/>
      <c r="AY6" s="145"/>
      <c r="AZ6" s="145"/>
      <c r="BA6" s="145"/>
      <c r="BB6" s="145"/>
      <c r="BC6" s="145"/>
      <c r="BD6" s="145"/>
    </row>
    <row r="7" spans="1:56" s="289" customFormat="1" ht="7.5" customHeight="1" x14ac:dyDescent="0.55000000000000004">
      <c r="A7" s="291"/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90"/>
    </row>
    <row r="8" spans="1:56" s="237" customFormat="1" ht="30" customHeight="1" x14ac:dyDescent="0.2">
      <c r="A8" s="288" t="s">
        <v>134</v>
      </c>
      <c r="B8" s="287"/>
      <c r="C8" s="287"/>
      <c r="D8" s="287"/>
      <c r="E8" s="287"/>
      <c r="F8" s="324" t="s">
        <v>133</v>
      </c>
      <c r="G8" s="249"/>
      <c r="H8" s="249"/>
      <c r="I8" s="249"/>
      <c r="J8" s="249"/>
      <c r="K8" s="250" t="s">
        <v>132</v>
      </c>
      <c r="L8" s="250"/>
      <c r="M8" s="250"/>
      <c r="N8" s="250"/>
      <c r="O8" s="250"/>
      <c r="P8" s="286" t="s">
        <v>131</v>
      </c>
      <c r="Q8" s="286"/>
      <c r="R8" s="286"/>
      <c r="S8" s="286"/>
      <c r="T8" s="286"/>
      <c r="U8" s="286"/>
      <c r="V8" s="250" t="s">
        <v>130</v>
      </c>
      <c r="W8" s="250"/>
      <c r="X8" s="250"/>
      <c r="Y8" s="250"/>
      <c r="Z8" s="250"/>
      <c r="AA8" s="250"/>
      <c r="AB8" s="286"/>
      <c r="AC8" s="286"/>
      <c r="AD8" s="286"/>
      <c r="AE8" s="286"/>
      <c r="AF8" s="286"/>
      <c r="AG8" s="286"/>
      <c r="AH8" s="285" t="s">
        <v>129</v>
      </c>
      <c r="AI8" s="285"/>
      <c r="AJ8" s="285"/>
      <c r="AK8" s="277"/>
      <c r="AL8" s="277"/>
      <c r="AM8" s="277"/>
      <c r="AN8" s="277"/>
      <c r="AO8" s="277"/>
      <c r="AP8" s="277"/>
      <c r="AQ8" s="277"/>
      <c r="AR8" s="284"/>
      <c r="AS8" s="243"/>
      <c r="AT8" s="243"/>
      <c r="AU8" s="243"/>
      <c r="AV8" s="243"/>
      <c r="AW8" s="243"/>
      <c r="AX8" s="243"/>
      <c r="AY8" s="243"/>
      <c r="AZ8" s="243"/>
      <c r="BA8" s="243"/>
    </row>
    <row r="9" spans="1:56" ht="23.25" customHeight="1" x14ac:dyDescent="0.55000000000000004">
      <c r="A9" s="283" t="s">
        <v>128</v>
      </c>
      <c r="B9" s="282"/>
      <c r="C9" s="282"/>
      <c r="D9" s="282"/>
      <c r="E9" s="282"/>
      <c r="F9" s="282"/>
      <c r="G9" s="281"/>
      <c r="H9" s="281"/>
      <c r="I9" s="237" t="s">
        <v>123</v>
      </c>
      <c r="J9" s="280" t="s">
        <v>127</v>
      </c>
      <c r="K9" s="280"/>
      <c r="L9" s="280"/>
      <c r="M9" s="280"/>
      <c r="N9" s="280"/>
      <c r="O9" s="280"/>
      <c r="P9" s="279"/>
      <c r="Q9" s="278" t="s">
        <v>126</v>
      </c>
      <c r="R9" s="278"/>
      <c r="S9" s="278"/>
      <c r="T9" s="278"/>
      <c r="U9" s="278" t="s">
        <v>125</v>
      </c>
      <c r="V9" s="278"/>
      <c r="W9" s="278"/>
      <c r="X9" s="278"/>
      <c r="Y9" s="278"/>
      <c r="Z9" s="278"/>
      <c r="AA9" s="277"/>
      <c r="AB9" s="277"/>
      <c r="AC9" s="277"/>
      <c r="AD9" s="277"/>
      <c r="AE9" s="277"/>
      <c r="AF9" s="276" t="s">
        <v>124</v>
      </c>
      <c r="AG9" s="276"/>
      <c r="AH9" s="276"/>
      <c r="AI9" s="276"/>
      <c r="AJ9" s="276"/>
      <c r="AK9" s="276"/>
      <c r="AL9" s="276"/>
      <c r="AM9" s="276"/>
      <c r="AN9" s="276"/>
      <c r="AO9" s="275"/>
      <c r="AP9" s="275"/>
      <c r="AQ9" s="237" t="s">
        <v>123</v>
      </c>
      <c r="AR9" s="274"/>
      <c r="AS9" s="145"/>
      <c r="AT9" s="146" t="s">
        <v>81</v>
      </c>
      <c r="AU9" s="146"/>
      <c r="AV9" s="145"/>
      <c r="AW9" s="145"/>
      <c r="AX9" s="145"/>
      <c r="AY9" s="145"/>
      <c r="AZ9" s="145"/>
      <c r="BA9" s="145"/>
      <c r="BB9" s="145"/>
      <c r="BC9" s="145"/>
      <c r="BD9" s="145"/>
    </row>
    <row r="10" spans="1:56" ht="23.25" customHeight="1" x14ac:dyDescent="0.55000000000000004">
      <c r="A10" s="178" t="s">
        <v>122</v>
      </c>
      <c r="B10" s="177"/>
      <c r="C10" s="177"/>
      <c r="D10" s="177"/>
      <c r="E10" s="177"/>
      <c r="F10" s="177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2"/>
      <c r="AS10" s="145"/>
      <c r="AT10" s="146"/>
      <c r="AU10" s="146"/>
      <c r="AV10" s="145"/>
      <c r="AW10" s="145"/>
      <c r="AX10" s="145"/>
      <c r="AY10" s="145"/>
      <c r="AZ10" s="145"/>
      <c r="BA10" s="145"/>
      <c r="BB10" s="145"/>
      <c r="BC10" s="145"/>
      <c r="BD10" s="145"/>
    </row>
    <row r="11" spans="1:56" ht="27.75" customHeight="1" x14ac:dyDescent="0.55000000000000004">
      <c r="A11" s="160" t="s">
        <v>121</v>
      </c>
      <c r="B11" s="145"/>
      <c r="C11" s="145"/>
      <c r="D11" s="145"/>
      <c r="E11" s="145"/>
      <c r="F11" s="145"/>
      <c r="H11" s="271" t="s">
        <v>120</v>
      </c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0"/>
      <c r="AS11" s="145"/>
      <c r="AT11" s="146"/>
      <c r="AU11" s="146"/>
      <c r="AV11" s="145"/>
      <c r="AW11" s="145"/>
      <c r="AX11" s="145"/>
      <c r="AY11" s="145"/>
      <c r="AZ11" s="145"/>
      <c r="BA11" s="145"/>
      <c r="BB11" s="145"/>
      <c r="BC11" s="145"/>
      <c r="BD11" s="145"/>
    </row>
    <row r="12" spans="1:56" s="209" customFormat="1" ht="21" customHeight="1" x14ac:dyDescent="0.55000000000000004">
      <c r="A12" s="269"/>
      <c r="B12" s="168"/>
      <c r="C12" s="168"/>
      <c r="D12" s="168"/>
      <c r="E12" s="168"/>
      <c r="F12" s="168"/>
      <c r="G12" s="268"/>
      <c r="H12" s="268"/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7"/>
      <c r="AN12" s="267"/>
      <c r="AO12" s="267"/>
      <c r="AP12" s="267"/>
      <c r="AQ12" s="267"/>
      <c r="AR12" s="266"/>
      <c r="AS12" s="265"/>
      <c r="AT12" s="265"/>
      <c r="AU12" s="265"/>
      <c r="AV12" s="265"/>
      <c r="AW12" s="265"/>
      <c r="AX12" s="265"/>
      <c r="AY12" s="265"/>
      <c r="AZ12" s="265"/>
      <c r="BA12" s="265"/>
    </row>
    <row r="13" spans="1:56" s="199" customFormat="1" ht="26.25" customHeight="1" x14ac:dyDescent="0.2">
      <c r="A13" s="264" t="s">
        <v>119</v>
      </c>
      <c r="B13" s="263"/>
      <c r="C13" s="262">
        <v>49000</v>
      </c>
      <c r="D13" s="262"/>
      <c r="E13" s="262"/>
      <c r="F13" s="262"/>
      <c r="G13" s="261" t="s">
        <v>3</v>
      </c>
      <c r="H13" s="261"/>
      <c r="I13" s="260" t="s">
        <v>118</v>
      </c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325">
        <v>36120.949999999997</v>
      </c>
      <c r="V13" s="325"/>
      <c r="W13" s="325"/>
      <c r="X13" s="325"/>
      <c r="Y13" s="259" t="s">
        <v>3</v>
      </c>
      <c r="Z13" s="259"/>
      <c r="AA13" s="256" t="s">
        <v>0</v>
      </c>
      <c r="AB13" s="258" t="str">
        <f>BAHTTEXT(U13)</f>
        <v>สามหมื่นหกพันหนึ่งร้อยยี่สิบบาทเก้าสิบห้าสตางค์</v>
      </c>
      <c r="AC13" s="258"/>
      <c r="AD13" s="258"/>
      <c r="AE13" s="258"/>
      <c r="AF13" s="258"/>
      <c r="AG13" s="258"/>
      <c r="AH13" s="258"/>
      <c r="AI13" s="258"/>
      <c r="AJ13" s="258"/>
      <c r="AK13" s="258"/>
      <c r="AL13" s="258"/>
      <c r="AM13" s="258"/>
      <c r="AN13" s="258"/>
      <c r="AO13" s="258"/>
      <c r="AP13" s="258"/>
      <c r="AQ13" s="258"/>
      <c r="AR13" s="257" t="s">
        <v>1</v>
      </c>
      <c r="AS13" s="248"/>
      <c r="AT13" s="248"/>
      <c r="AU13" s="248"/>
      <c r="AV13" s="248"/>
      <c r="AW13" s="248"/>
      <c r="AX13" s="248"/>
      <c r="AY13" s="248"/>
      <c r="AZ13" s="248"/>
      <c r="BA13" s="248"/>
    </row>
    <row r="14" spans="1:56" s="199" customFormat="1" ht="24" x14ac:dyDescent="0.2">
      <c r="A14" s="251"/>
      <c r="B14" s="245"/>
      <c r="C14" s="245"/>
      <c r="D14" s="245"/>
      <c r="E14" s="256"/>
      <c r="F14" s="256"/>
      <c r="G14" s="246"/>
      <c r="H14" s="246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55"/>
      <c r="X14" s="255"/>
      <c r="Y14" s="246"/>
      <c r="Z14" s="254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2"/>
      <c r="AS14" s="248"/>
      <c r="AT14" s="248"/>
      <c r="AU14" s="248"/>
      <c r="AV14" s="248"/>
      <c r="AW14" s="248"/>
      <c r="AX14" s="248"/>
      <c r="AY14" s="248"/>
      <c r="AZ14" s="248"/>
      <c r="BA14" s="248"/>
    </row>
    <row r="15" spans="1:56" s="237" customFormat="1" ht="24" x14ac:dyDescent="0.2">
      <c r="A15" s="251"/>
      <c r="B15" s="250" t="s">
        <v>117</v>
      </c>
      <c r="C15" s="250"/>
      <c r="D15" s="250"/>
      <c r="E15" s="326">
        <f>C13-U13</f>
        <v>12879.050000000003</v>
      </c>
      <c r="F15" s="326"/>
      <c r="G15" s="326"/>
      <c r="H15" s="326"/>
      <c r="I15" s="199" t="s">
        <v>3</v>
      </c>
      <c r="J15" s="254" t="s">
        <v>0</v>
      </c>
      <c r="K15" s="324" t="str">
        <f>BAHTTEXT(E15)</f>
        <v>หนึ่งหมื่นสองพันแปดร้อยเจ็ดสิบเก้าบาทห้าสตางค์</v>
      </c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248" t="s">
        <v>1</v>
      </c>
      <c r="AA15" s="247" t="s">
        <v>116</v>
      </c>
      <c r="AB15" s="247"/>
      <c r="AC15" s="247"/>
      <c r="AD15" s="247"/>
      <c r="AE15" s="246"/>
      <c r="AF15" s="246"/>
      <c r="AG15" s="246"/>
      <c r="AH15" s="246"/>
      <c r="AI15" s="246"/>
      <c r="AJ15" s="246"/>
      <c r="AK15" s="246"/>
      <c r="AL15" s="245"/>
      <c r="AM15" s="245"/>
      <c r="AN15" s="245"/>
      <c r="AO15" s="245"/>
      <c r="AP15" s="245"/>
      <c r="AQ15" s="245"/>
      <c r="AR15" s="244"/>
      <c r="AS15" s="243"/>
      <c r="AT15" s="243"/>
      <c r="AU15" s="243"/>
      <c r="AV15" s="243"/>
      <c r="AW15" s="243"/>
      <c r="AX15" s="243"/>
      <c r="AY15" s="243"/>
      <c r="AZ15" s="243"/>
      <c r="BA15" s="243"/>
    </row>
    <row r="16" spans="1:56" ht="23.25" customHeight="1" x14ac:dyDescent="0.55000000000000004">
      <c r="A16" s="242"/>
      <c r="B16" s="236"/>
      <c r="C16" s="236"/>
      <c r="D16" s="236"/>
      <c r="E16" s="241"/>
      <c r="F16" s="241"/>
      <c r="G16" s="240"/>
      <c r="H16" s="240"/>
      <c r="I16" s="239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7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5"/>
      <c r="AS16" s="145"/>
      <c r="AT16" s="146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</row>
    <row r="17" spans="1:56" ht="24" x14ac:dyDescent="0.55000000000000004">
      <c r="A17" s="160"/>
      <c r="B17" s="145" t="s">
        <v>115</v>
      </c>
      <c r="C17" s="145"/>
      <c r="D17" s="145"/>
      <c r="E17" s="145"/>
      <c r="F17" s="145"/>
      <c r="G17" s="145"/>
      <c r="H17" s="145"/>
      <c r="I17" s="169"/>
      <c r="J17" s="231" t="s">
        <v>3</v>
      </c>
      <c r="K17" s="231"/>
      <c r="L17" s="231"/>
      <c r="M17" s="172"/>
      <c r="N17" s="172" t="s">
        <v>0</v>
      </c>
      <c r="O17" s="169"/>
      <c r="P17" s="169"/>
      <c r="Q17" s="169"/>
      <c r="R17" s="169"/>
      <c r="S17" s="169"/>
      <c r="T17" s="169"/>
      <c r="U17" s="169"/>
      <c r="V17" s="169"/>
      <c r="W17" s="145" t="s">
        <v>1</v>
      </c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53"/>
      <c r="AS17" s="145"/>
      <c r="AT17" s="146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</row>
    <row r="18" spans="1:56" ht="23.25" customHeight="1" x14ac:dyDescent="0.55000000000000004">
      <c r="A18" s="160"/>
      <c r="B18" s="168"/>
      <c r="C18" s="168"/>
      <c r="D18" s="168"/>
      <c r="E18" s="168"/>
      <c r="F18" s="168"/>
      <c r="G18" s="233"/>
      <c r="H18" s="233"/>
      <c r="I18" s="233"/>
      <c r="J18" s="168"/>
      <c r="K18" s="168"/>
      <c r="L18" s="168"/>
      <c r="M18" s="172"/>
      <c r="N18" s="233"/>
      <c r="O18" s="233"/>
      <c r="P18" s="233"/>
      <c r="Q18" s="233"/>
      <c r="R18" s="233"/>
      <c r="S18" s="233"/>
      <c r="T18" s="233"/>
      <c r="U18" s="233"/>
      <c r="V18" s="233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53"/>
      <c r="AS18" s="145"/>
      <c r="AT18" s="146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</row>
    <row r="19" spans="1:56" ht="24" x14ac:dyDescent="0.55000000000000004">
      <c r="A19" s="160"/>
      <c r="B19" s="145" t="s">
        <v>114</v>
      </c>
      <c r="C19" s="145"/>
      <c r="D19" s="145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145" t="s">
        <v>113</v>
      </c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53"/>
      <c r="AS19" s="145"/>
      <c r="AT19" s="146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</row>
    <row r="20" spans="1:56" ht="23.25" customHeight="1" x14ac:dyDescent="0.55000000000000004">
      <c r="A20" s="160"/>
      <c r="B20" s="145"/>
      <c r="C20" s="145"/>
      <c r="D20" s="145"/>
      <c r="E20" s="233"/>
      <c r="F20" s="233"/>
      <c r="G20" s="233"/>
      <c r="H20" s="233"/>
      <c r="I20" s="233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53"/>
      <c r="AS20" s="145"/>
      <c r="AT20" s="146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</row>
    <row r="21" spans="1:56" ht="24" x14ac:dyDescent="0.55000000000000004">
      <c r="A21" s="160"/>
      <c r="B21" s="231" t="s">
        <v>112</v>
      </c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0"/>
      <c r="P21" s="229"/>
      <c r="Q21" s="229"/>
      <c r="R21" s="229"/>
      <c r="S21" s="229"/>
      <c r="T21" s="145" t="s">
        <v>3</v>
      </c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53"/>
      <c r="AS21" s="145"/>
      <c r="AT21" s="146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</row>
    <row r="22" spans="1:56" ht="30" customHeight="1" x14ac:dyDescent="0.55000000000000004">
      <c r="A22" s="228"/>
      <c r="B22" s="148"/>
      <c r="C22" s="148"/>
      <c r="D22" s="148"/>
      <c r="E22" s="148"/>
      <c r="F22" s="148"/>
      <c r="G22" s="148"/>
      <c r="H22" s="148"/>
      <c r="I22" s="148"/>
      <c r="J22" s="148"/>
      <c r="K22" s="227"/>
      <c r="L22" s="227"/>
      <c r="M22" s="227"/>
      <c r="N22" s="148"/>
      <c r="O22" s="226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7"/>
      <c r="AS22" s="145"/>
      <c r="AT22" s="146"/>
      <c r="AU22" s="146"/>
      <c r="AV22" s="145"/>
      <c r="AW22" s="225"/>
      <c r="AX22" s="145"/>
      <c r="AY22" s="145"/>
      <c r="AZ22" s="145"/>
      <c r="BA22" s="145"/>
      <c r="BB22" s="145"/>
      <c r="BC22" s="145"/>
      <c r="BD22" s="145"/>
    </row>
    <row r="23" spans="1:56" s="199" customFormat="1" ht="20.25" customHeight="1" x14ac:dyDescent="0.55000000000000004">
      <c r="A23" s="224" t="s">
        <v>111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  <c r="AR23" s="222"/>
    </row>
    <row r="24" spans="1:56" s="199" customFormat="1" ht="20.25" customHeight="1" x14ac:dyDescent="0.2">
      <c r="A24" s="221" t="s">
        <v>110</v>
      </c>
      <c r="B24" s="202" t="s">
        <v>109</v>
      </c>
      <c r="C24" s="202"/>
      <c r="D24" s="202"/>
      <c r="G24" s="220">
        <v>2569</v>
      </c>
      <c r="H24" s="220"/>
      <c r="I24" s="220"/>
      <c r="K24" s="199" t="s">
        <v>108</v>
      </c>
      <c r="N24" s="217"/>
      <c r="O24" s="217"/>
      <c r="P24" s="217"/>
      <c r="Q24" s="220">
        <v>21200</v>
      </c>
      <c r="R24" s="220"/>
      <c r="S24" s="220"/>
      <c r="T24" s="220"/>
      <c r="AA24" s="215"/>
      <c r="AR24" s="219"/>
    </row>
    <row r="25" spans="1:56" s="213" customFormat="1" ht="24" customHeight="1" x14ac:dyDescent="0.2">
      <c r="A25" s="203"/>
      <c r="B25" s="218" t="s">
        <v>107</v>
      </c>
      <c r="C25" s="218"/>
      <c r="D25" s="218"/>
      <c r="E25" s="218"/>
      <c r="F25" s="199"/>
      <c r="G25" s="216">
        <v>101</v>
      </c>
      <c r="H25" s="216"/>
      <c r="I25" s="216"/>
      <c r="J25" s="199"/>
      <c r="K25" s="199" t="s">
        <v>106</v>
      </c>
      <c r="L25" s="199"/>
      <c r="M25" s="199"/>
      <c r="N25" s="217"/>
      <c r="O25" s="217"/>
      <c r="P25" s="217"/>
      <c r="Q25" s="216">
        <v>692203</v>
      </c>
      <c r="R25" s="216"/>
      <c r="S25" s="216"/>
      <c r="T25" s="216"/>
      <c r="U25" s="199"/>
      <c r="V25" s="199"/>
      <c r="W25" s="199"/>
      <c r="X25" s="199"/>
      <c r="Y25" s="199"/>
      <c r="Z25" s="199"/>
      <c r="AA25" s="215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5"/>
      <c r="AT25" s="214"/>
    </row>
    <row r="26" spans="1:56" s="199" customFormat="1" ht="21.6" customHeight="1" x14ac:dyDescent="0.2">
      <c r="A26" s="212"/>
      <c r="B26" s="211" t="s">
        <v>105</v>
      </c>
      <c r="C26" s="211"/>
      <c r="D26" s="211"/>
      <c r="E26" s="211"/>
      <c r="F26" s="211"/>
      <c r="G26" s="210" t="s">
        <v>161</v>
      </c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09"/>
      <c r="AF26" s="208" t="s">
        <v>0</v>
      </c>
      <c r="AG26" s="207">
        <f>U13</f>
        <v>36120.949999999997</v>
      </c>
      <c r="AH26" s="207"/>
      <c r="AI26" s="207"/>
      <c r="AJ26" s="207"/>
      <c r="AK26" s="207"/>
      <c r="AL26" s="206" t="s">
        <v>1</v>
      </c>
      <c r="AM26" s="206"/>
      <c r="AN26" s="206"/>
      <c r="AO26" s="206"/>
      <c r="AP26" s="206"/>
      <c r="AQ26" s="206"/>
      <c r="AR26" s="205"/>
      <c r="AT26" s="204"/>
    </row>
    <row r="27" spans="1:56" ht="20.25" customHeight="1" x14ac:dyDescent="0.55000000000000004">
      <c r="A27" s="203"/>
      <c r="B27" s="202"/>
      <c r="C27" s="202"/>
      <c r="D27" s="202"/>
      <c r="E27" s="202"/>
      <c r="F27" s="202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198"/>
      <c r="AC27" s="200"/>
      <c r="AD27" s="200"/>
      <c r="AE27" s="199"/>
      <c r="AF27" s="198"/>
      <c r="AG27" s="197"/>
      <c r="AH27" s="197"/>
      <c r="AI27" s="197"/>
      <c r="AJ27" s="197"/>
      <c r="AK27" s="197"/>
      <c r="AL27" s="196"/>
      <c r="AM27" s="196"/>
      <c r="AN27" s="196"/>
      <c r="AO27" s="196"/>
      <c r="AP27" s="196"/>
      <c r="AQ27" s="196"/>
      <c r="AR27" s="195"/>
      <c r="AS27" s="145"/>
      <c r="AT27" s="146"/>
      <c r="AU27" s="146"/>
      <c r="AV27" s="145"/>
      <c r="AW27" s="145"/>
      <c r="AX27" s="145"/>
      <c r="AY27" s="145"/>
      <c r="AZ27" s="145"/>
      <c r="BA27" s="145"/>
      <c r="BB27" s="145"/>
      <c r="BC27" s="145"/>
      <c r="BD27" s="145"/>
    </row>
    <row r="28" spans="1:56" ht="24.75" customHeight="1" x14ac:dyDescent="0.55000000000000004">
      <c r="A28" s="151"/>
      <c r="B28" s="194"/>
      <c r="C28" s="194"/>
      <c r="D28" s="194"/>
      <c r="E28" s="192"/>
      <c r="F28" s="192"/>
      <c r="G28" s="192"/>
      <c r="H28" s="192"/>
      <c r="I28" s="193"/>
      <c r="J28" s="192"/>
      <c r="K28" s="192"/>
      <c r="L28" s="189"/>
      <c r="M28" s="192"/>
      <c r="N28" s="192"/>
      <c r="O28" s="192"/>
      <c r="P28" s="192"/>
      <c r="Q28" s="192"/>
      <c r="R28" s="192"/>
      <c r="S28" s="192"/>
      <c r="T28" s="192"/>
      <c r="U28" s="192"/>
      <c r="V28" s="191"/>
      <c r="W28" s="191"/>
      <c r="X28" s="190"/>
      <c r="Y28" s="190"/>
      <c r="Z28" s="190"/>
      <c r="AA28" s="190"/>
      <c r="AB28" s="190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8"/>
      <c r="AS28" s="145"/>
      <c r="AT28" s="146"/>
      <c r="AU28" s="146"/>
      <c r="AV28" s="145"/>
      <c r="AW28" s="145"/>
      <c r="AX28" s="145"/>
      <c r="AY28" s="145"/>
      <c r="AZ28" s="145"/>
      <c r="BA28" s="145"/>
      <c r="BB28" s="145"/>
      <c r="BC28" s="145"/>
      <c r="BD28" s="145"/>
    </row>
    <row r="29" spans="1:56" ht="36.75" customHeight="1" x14ac:dyDescent="0.55000000000000004">
      <c r="A29" s="160" t="s">
        <v>104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45"/>
      <c r="AD29" s="169"/>
      <c r="AE29" s="154" t="s">
        <v>103</v>
      </c>
      <c r="AF29" s="154"/>
      <c r="AG29" s="154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53"/>
      <c r="AS29" s="145"/>
      <c r="AT29" s="146"/>
      <c r="AU29" s="146"/>
      <c r="AV29" s="145"/>
      <c r="AW29" s="145"/>
      <c r="AX29" s="145"/>
      <c r="AY29" s="145"/>
      <c r="AZ29" s="187" t="e">
        <f>AG26+#REF!</f>
        <v>#REF!</v>
      </c>
      <c r="BA29" s="145"/>
      <c r="BB29" s="145"/>
      <c r="BC29" s="145"/>
      <c r="BD29" s="145"/>
    </row>
    <row r="30" spans="1:56" ht="22.5" customHeight="1" x14ac:dyDescent="0.55000000000000004">
      <c r="A30" s="15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O30" s="172"/>
      <c r="P30" s="172"/>
      <c r="Q30" s="171" t="s">
        <v>74</v>
      </c>
      <c r="R30" s="171"/>
      <c r="S30" s="171"/>
      <c r="T30" s="169"/>
      <c r="U30" s="169"/>
      <c r="V30" s="169"/>
      <c r="W30" s="169"/>
      <c r="X30" s="169"/>
      <c r="Y30" s="170"/>
      <c r="Z30" s="169"/>
      <c r="AA30" s="169"/>
      <c r="AB30" s="169"/>
      <c r="AC30" s="145" t="s">
        <v>162</v>
      </c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53"/>
      <c r="AS30" s="145"/>
      <c r="AT30" s="146"/>
      <c r="AU30" s="146"/>
      <c r="AV30" s="145"/>
      <c r="AW30" s="145"/>
      <c r="AX30" s="145"/>
      <c r="AY30" s="145"/>
      <c r="AZ30" s="145"/>
      <c r="BA30" s="145"/>
      <c r="BB30" s="145"/>
      <c r="BC30" s="145"/>
      <c r="BD30" s="145"/>
    </row>
    <row r="31" spans="1:56" ht="21.75" customHeight="1" x14ac:dyDescent="0.55000000000000004">
      <c r="A31" s="15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86" t="s">
        <v>102</v>
      </c>
      <c r="U31" s="186"/>
      <c r="V31" s="186"/>
      <c r="W31" s="186"/>
      <c r="X31" s="186"/>
      <c r="Y31" s="186"/>
      <c r="Z31" s="186"/>
      <c r="AA31" s="186"/>
      <c r="AB31" s="186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53"/>
      <c r="AS31" s="145"/>
      <c r="AT31" s="146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</row>
    <row r="32" spans="1:56" ht="30.75" customHeight="1" x14ac:dyDescent="0.55000000000000004">
      <c r="A32" s="151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50" t="s">
        <v>101</v>
      </c>
      <c r="U32" s="150"/>
      <c r="V32" s="150"/>
      <c r="W32" s="150"/>
      <c r="X32" s="150"/>
      <c r="Y32" s="150"/>
      <c r="Z32" s="150"/>
      <c r="AA32" s="150"/>
      <c r="AB32" s="150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7"/>
      <c r="AS32" s="145"/>
      <c r="AT32" s="146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</row>
    <row r="33" spans="1:56" ht="28.5" customHeight="1" x14ac:dyDescent="0.55000000000000004">
      <c r="A33" s="167" t="s">
        <v>100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4"/>
      <c r="AS33" s="145"/>
      <c r="AT33" s="146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</row>
    <row r="34" spans="1:56" ht="24.75" customHeight="1" x14ac:dyDescent="0.55000000000000004">
      <c r="A34" s="183" t="s">
        <v>99</v>
      </c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1"/>
      <c r="AS34" s="145"/>
      <c r="AT34" s="146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</row>
    <row r="35" spans="1:56" ht="32.25" customHeight="1" x14ac:dyDescent="0.55000000000000004">
      <c r="A35" s="183" t="s">
        <v>98</v>
      </c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1"/>
      <c r="AS35" s="145"/>
      <c r="AT35" s="146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</row>
    <row r="36" spans="1:56" ht="21" customHeight="1" x14ac:dyDescent="0.55000000000000004">
      <c r="A36" s="183" t="s">
        <v>97</v>
      </c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1"/>
      <c r="AS36" s="145"/>
      <c r="AT36" s="146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</row>
    <row r="37" spans="1:56" ht="21" customHeight="1" x14ac:dyDescent="0.55000000000000004">
      <c r="A37" s="18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53"/>
      <c r="AS37" s="145"/>
      <c r="AT37" s="146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</row>
    <row r="38" spans="1:56" ht="24" customHeight="1" x14ac:dyDescent="0.55000000000000004">
      <c r="A38" s="15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O38" s="172"/>
      <c r="P38" s="171" t="s">
        <v>74</v>
      </c>
      <c r="Q38" s="171"/>
      <c r="R38" s="171"/>
      <c r="S38" s="179"/>
      <c r="T38" s="169"/>
      <c r="U38" s="169"/>
      <c r="V38" s="169"/>
      <c r="W38" s="169"/>
      <c r="X38" s="169"/>
      <c r="Y38" s="170"/>
      <c r="Z38" s="169"/>
      <c r="AA38" s="169"/>
      <c r="AB38" s="169"/>
      <c r="AC38" s="145" t="s">
        <v>96</v>
      </c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53"/>
      <c r="AS38" s="145"/>
      <c r="AT38" s="146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</row>
    <row r="39" spans="1:56" ht="26.25" customHeight="1" x14ac:dyDescent="0.55000000000000004">
      <c r="A39" s="15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54" t="s">
        <v>95</v>
      </c>
      <c r="U39" s="154"/>
      <c r="V39" s="154"/>
      <c r="W39" s="154"/>
      <c r="X39" s="154"/>
      <c r="Y39" s="154"/>
      <c r="Z39" s="154"/>
      <c r="AA39" s="154"/>
      <c r="AB39" s="154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53"/>
      <c r="AS39" s="145"/>
      <c r="AT39" s="146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</row>
    <row r="40" spans="1:56" ht="21.75" customHeight="1" x14ac:dyDescent="0.55000000000000004">
      <c r="A40" s="151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50" t="s">
        <v>94</v>
      </c>
      <c r="U40" s="150"/>
      <c r="V40" s="150"/>
      <c r="W40" s="150"/>
      <c r="X40" s="150"/>
      <c r="Y40" s="150"/>
      <c r="Z40" s="150"/>
      <c r="AA40" s="150"/>
      <c r="AB40" s="150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7"/>
      <c r="AS40" s="145"/>
      <c r="AT40" s="146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</row>
    <row r="41" spans="1:56" ht="30.75" customHeight="1" x14ac:dyDescent="0.55000000000000004">
      <c r="A41" s="149" t="s">
        <v>93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5"/>
      <c r="AT41" s="146"/>
      <c r="AU41" s="146"/>
      <c r="AV41" s="145"/>
      <c r="AW41" s="145"/>
      <c r="AX41" s="145"/>
      <c r="AY41" s="145"/>
      <c r="AZ41" s="145"/>
      <c r="BA41" s="145"/>
      <c r="BB41" s="145"/>
      <c r="BC41" s="145"/>
      <c r="BD41" s="145"/>
    </row>
    <row r="42" spans="1:56" ht="30.75" customHeight="1" x14ac:dyDescent="0.55000000000000004">
      <c r="A42" s="160" t="s">
        <v>92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53"/>
      <c r="AS42" s="145"/>
      <c r="AT42" s="146"/>
      <c r="AU42" s="146"/>
      <c r="AV42" s="145"/>
      <c r="AW42" s="145"/>
      <c r="AX42" s="145"/>
      <c r="AY42" s="145"/>
      <c r="AZ42" s="145"/>
      <c r="BA42" s="145"/>
      <c r="BB42" s="145"/>
      <c r="BC42" s="145"/>
      <c r="BD42" s="145"/>
    </row>
    <row r="43" spans="1:56" ht="30.75" customHeight="1" x14ac:dyDescent="0.55000000000000004">
      <c r="A43" s="178" t="s">
        <v>91</v>
      </c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6"/>
      <c r="AS43" s="145"/>
      <c r="AT43" s="146"/>
      <c r="AU43" s="146"/>
      <c r="AV43" s="145"/>
      <c r="AW43" s="145"/>
      <c r="AX43" s="145"/>
      <c r="AY43" s="145"/>
      <c r="AZ43" s="145"/>
      <c r="BA43" s="145"/>
      <c r="BB43" s="145"/>
      <c r="BC43" s="145"/>
      <c r="BD43" s="145"/>
    </row>
    <row r="44" spans="1:56" ht="30.75" customHeight="1" x14ac:dyDescent="0.55000000000000004">
      <c r="A44" s="175" t="s">
        <v>90</v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53"/>
      <c r="AS44" s="145"/>
      <c r="AT44" s="146"/>
      <c r="AU44" s="146"/>
      <c r="AV44" s="145"/>
      <c r="AW44" s="145"/>
      <c r="AX44" s="145"/>
      <c r="AY44" s="145"/>
      <c r="AZ44" s="145"/>
      <c r="BA44" s="145"/>
      <c r="BB44" s="145"/>
      <c r="BC44" s="145"/>
      <c r="BD44" s="145"/>
    </row>
    <row r="45" spans="1:56" ht="30.75" customHeight="1" x14ac:dyDescent="0.55000000000000004">
      <c r="A45" s="160"/>
      <c r="B45" s="145" t="s">
        <v>89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53"/>
      <c r="AS45" s="145"/>
      <c r="AT45" s="146"/>
      <c r="AU45" s="146"/>
      <c r="AV45" s="145"/>
      <c r="AW45" s="145"/>
      <c r="AX45" s="145"/>
      <c r="AY45" s="145"/>
      <c r="AZ45" s="145"/>
      <c r="BA45" s="145"/>
      <c r="BB45" s="145"/>
      <c r="BC45" s="145"/>
      <c r="BD45" s="145"/>
    </row>
    <row r="46" spans="1:56" ht="30.75" customHeight="1" x14ac:dyDescent="0.55000000000000004">
      <c r="A46" s="160"/>
      <c r="B46" s="145" t="s">
        <v>88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53"/>
      <c r="AS46" s="145"/>
      <c r="AT46" s="146"/>
      <c r="AU46" s="146"/>
      <c r="AV46" s="145"/>
      <c r="AW46" s="145"/>
      <c r="AX46" s="145"/>
      <c r="AY46" s="145"/>
      <c r="AZ46" s="145"/>
      <c r="BA46" s="145"/>
      <c r="BB46" s="145"/>
      <c r="BC46" s="145"/>
      <c r="BD46" s="145"/>
    </row>
    <row r="47" spans="1:56" ht="30.75" customHeight="1" x14ac:dyDescent="0.55000000000000004">
      <c r="A47" s="160"/>
      <c r="B47" s="145" t="s">
        <v>87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53"/>
      <c r="AS47" s="145"/>
      <c r="AT47" s="146"/>
      <c r="AU47" s="146"/>
      <c r="AV47" s="145"/>
      <c r="AW47" s="145"/>
      <c r="AX47" s="145"/>
      <c r="AY47" s="145"/>
      <c r="AZ47" s="145"/>
      <c r="BA47" s="145"/>
      <c r="BB47" s="145"/>
      <c r="BC47" s="145"/>
      <c r="BD47" s="145"/>
    </row>
    <row r="48" spans="1:56" ht="30.75" customHeight="1" x14ac:dyDescent="0.55000000000000004">
      <c r="A48" s="160"/>
      <c r="B48" s="145" t="s">
        <v>86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53"/>
      <c r="AS48" s="145"/>
      <c r="AT48" s="146"/>
      <c r="AU48" s="146"/>
      <c r="AV48" s="145"/>
      <c r="AW48" s="145"/>
      <c r="AX48" s="145"/>
      <c r="AY48" s="145"/>
      <c r="AZ48" s="145"/>
      <c r="BA48" s="145"/>
      <c r="BB48" s="145"/>
      <c r="BC48" s="145"/>
      <c r="BD48" s="145"/>
    </row>
    <row r="49" spans="1:56" ht="30.75" customHeight="1" x14ac:dyDescent="0.55000000000000004">
      <c r="A49" s="160"/>
      <c r="B49" s="145" t="s">
        <v>85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Y49" s="145" t="s">
        <v>84</v>
      </c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53"/>
      <c r="AS49" s="145"/>
      <c r="AT49" s="146"/>
      <c r="AU49" s="146"/>
      <c r="AV49" s="145"/>
      <c r="AW49" s="145"/>
      <c r="AX49" s="145"/>
      <c r="AY49" s="145"/>
      <c r="AZ49" s="145"/>
      <c r="BA49" s="145"/>
      <c r="BB49" s="145"/>
      <c r="BC49" s="145"/>
      <c r="BD49" s="145"/>
    </row>
    <row r="50" spans="1:56" ht="30.75" customHeight="1" x14ac:dyDescent="0.55000000000000004">
      <c r="A50" s="151"/>
      <c r="B50" s="148" t="s">
        <v>83</v>
      </c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7"/>
      <c r="AS50" s="145"/>
      <c r="AT50" s="146"/>
      <c r="AU50" s="146"/>
      <c r="AV50" s="145"/>
      <c r="AW50" s="145"/>
      <c r="AX50" s="145"/>
      <c r="AY50" s="145"/>
      <c r="AZ50" s="145"/>
      <c r="BA50" s="145"/>
      <c r="BB50" s="145"/>
      <c r="BC50" s="145"/>
      <c r="BD50" s="145"/>
    </row>
    <row r="51" spans="1:56" ht="30.75" customHeight="1" x14ac:dyDescent="0.55000000000000004">
      <c r="A51" s="155"/>
      <c r="B51" s="145" t="s">
        <v>82</v>
      </c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53"/>
      <c r="AS51" s="145"/>
      <c r="AT51" s="146" t="s">
        <v>81</v>
      </c>
      <c r="AU51" s="146"/>
      <c r="AV51" s="145"/>
      <c r="AW51" s="145"/>
      <c r="AX51" s="145"/>
      <c r="AY51" s="145"/>
      <c r="AZ51" s="145"/>
      <c r="BA51" s="145"/>
      <c r="BB51" s="145"/>
      <c r="BC51" s="145"/>
      <c r="BD51" s="145"/>
    </row>
    <row r="52" spans="1:56" ht="30.75" customHeight="1" x14ac:dyDescent="0.55000000000000004">
      <c r="A52" s="155"/>
      <c r="B52" s="145" t="s">
        <v>80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53"/>
      <c r="AS52" s="145"/>
      <c r="AT52" s="146"/>
      <c r="AU52" s="146"/>
      <c r="AV52" s="145"/>
      <c r="AW52" s="145"/>
      <c r="AX52" s="145"/>
      <c r="AY52" s="145"/>
      <c r="AZ52" s="145"/>
      <c r="BA52" s="145"/>
      <c r="BB52" s="145"/>
      <c r="BC52" s="145"/>
      <c r="BD52" s="145"/>
    </row>
    <row r="53" spans="1:56" ht="30.75" customHeight="1" x14ac:dyDescent="0.55000000000000004">
      <c r="A53" s="155"/>
      <c r="B53" s="168" t="s">
        <v>79</v>
      </c>
      <c r="C53" s="168"/>
      <c r="D53" s="168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53"/>
      <c r="AS53" s="145"/>
      <c r="AT53" s="146"/>
      <c r="AU53" s="146"/>
      <c r="AV53" s="145"/>
      <c r="AW53" s="145"/>
      <c r="AX53" s="145"/>
      <c r="AY53" s="145"/>
      <c r="AZ53" s="145"/>
      <c r="BA53" s="145"/>
      <c r="BB53" s="145"/>
      <c r="BC53" s="145"/>
      <c r="BD53" s="145"/>
    </row>
    <row r="54" spans="1:56" ht="30.75" customHeight="1" x14ac:dyDescent="0.55000000000000004">
      <c r="A54" s="151"/>
      <c r="B54" s="148" t="s">
        <v>78</v>
      </c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7"/>
      <c r="AS54" s="145"/>
      <c r="AT54" s="146"/>
      <c r="AU54" s="146"/>
      <c r="AV54" s="145"/>
      <c r="AW54" s="145"/>
      <c r="AX54" s="145"/>
      <c r="AY54" s="145"/>
      <c r="AZ54" s="145"/>
      <c r="BA54" s="145"/>
      <c r="BB54" s="145"/>
      <c r="BC54" s="145"/>
      <c r="BD54" s="145"/>
    </row>
    <row r="55" spans="1:56" ht="30.75" customHeight="1" x14ac:dyDescent="0.55000000000000004">
      <c r="A55" s="155"/>
      <c r="B55" s="145" t="s">
        <v>77</v>
      </c>
      <c r="C55" s="145"/>
      <c r="D55" s="145"/>
      <c r="E55" s="145"/>
      <c r="F55" s="145"/>
      <c r="G55" s="145"/>
      <c r="H55" s="145"/>
      <c r="I55" s="145"/>
      <c r="J55" s="145"/>
      <c r="K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53"/>
      <c r="AS55" s="145"/>
      <c r="AT55" s="146"/>
      <c r="AU55" s="146"/>
      <c r="AV55" s="145"/>
      <c r="AW55" s="145"/>
      <c r="AX55" s="145"/>
      <c r="AY55" s="145"/>
      <c r="AZ55" s="145"/>
      <c r="BA55" s="145"/>
      <c r="BB55" s="145"/>
      <c r="BC55" s="145"/>
      <c r="BD55" s="145"/>
    </row>
    <row r="56" spans="1:56" ht="30.75" customHeight="1" x14ac:dyDescent="0.55000000000000004">
      <c r="A56" s="155"/>
      <c r="B56" s="174" t="s">
        <v>76</v>
      </c>
      <c r="C56" s="174"/>
      <c r="D56" s="174"/>
      <c r="E56" s="145"/>
      <c r="F56" s="145"/>
      <c r="G56" s="145"/>
      <c r="H56" s="145"/>
      <c r="I56" s="145"/>
      <c r="J56" s="145"/>
      <c r="K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53"/>
      <c r="AS56" s="145"/>
      <c r="AT56" s="146"/>
      <c r="AU56" s="146"/>
      <c r="AV56" s="145"/>
      <c r="AW56" s="145"/>
      <c r="AX56" s="145"/>
      <c r="AY56" s="145"/>
      <c r="AZ56" s="145"/>
      <c r="BA56" s="145"/>
      <c r="BB56" s="145"/>
      <c r="BC56" s="145"/>
      <c r="BD56" s="145"/>
    </row>
    <row r="57" spans="1:56" ht="23.25" customHeight="1" x14ac:dyDescent="0.55000000000000004">
      <c r="A57" s="155"/>
      <c r="B57" s="173" t="s">
        <v>75</v>
      </c>
      <c r="C57" s="173"/>
      <c r="D57" s="173"/>
      <c r="E57" s="145"/>
      <c r="F57" s="145"/>
      <c r="G57" s="145"/>
      <c r="H57" s="145"/>
      <c r="I57" s="145"/>
      <c r="J57" s="145"/>
      <c r="K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53"/>
      <c r="AS57" s="145"/>
      <c r="AT57" s="146"/>
      <c r="AU57" s="146"/>
      <c r="AV57" s="145"/>
      <c r="AW57" s="145"/>
      <c r="AX57" s="145"/>
      <c r="AY57" s="145"/>
      <c r="AZ57" s="145"/>
      <c r="BA57" s="145"/>
      <c r="BB57" s="145"/>
      <c r="BC57" s="145"/>
      <c r="BD57" s="145"/>
    </row>
    <row r="58" spans="1:56" ht="22.5" customHeight="1" x14ac:dyDescent="0.55000000000000004">
      <c r="A58" s="15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O58" s="172"/>
      <c r="P58" s="172"/>
      <c r="Q58" s="171" t="s">
        <v>74</v>
      </c>
      <c r="R58" s="171"/>
      <c r="S58" s="171"/>
      <c r="T58" s="169"/>
      <c r="U58" s="169"/>
      <c r="V58" s="169"/>
      <c r="W58" s="169"/>
      <c r="X58" s="169"/>
      <c r="Y58" s="170"/>
      <c r="Z58" s="169"/>
      <c r="AA58" s="169"/>
      <c r="AB58" s="145" t="s">
        <v>73</v>
      </c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53"/>
      <c r="AS58" s="145"/>
      <c r="AT58" s="146"/>
      <c r="AU58" s="146"/>
      <c r="AV58" s="145"/>
      <c r="AW58" s="145"/>
      <c r="AX58" s="145"/>
      <c r="AY58" s="145"/>
      <c r="AZ58" s="145"/>
      <c r="BA58" s="145"/>
      <c r="BB58" s="145"/>
      <c r="BC58" s="145"/>
      <c r="BD58" s="145"/>
    </row>
    <row r="59" spans="1:56" ht="22.5" customHeight="1" x14ac:dyDescent="0.55000000000000004">
      <c r="A59" s="15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54" t="s">
        <v>72</v>
      </c>
      <c r="U59" s="154"/>
      <c r="V59" s="154"/>
      <c r="W59" s="154"/>
      <c r="X59" s="154"/>
      <c r="Y59" s="154"/>
      <c r="Z59" s="154"/>
      <c r="AA59" s="154"/>
      <c r="AB59" s="168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53"/>
      <c r="AS59" s="145"/>
      <c r="AT59" s="146"/>
      <c r="AU59" s="146"/>
      <c r="AV59" s="145"/>
      <c r="AW59" s="145"/>
      <c r="AX59" s="145"/>
      <c r="AY59" s="145"/>
      <c r="AZ59" s="145"/>
      <c r="BA59" s="145"/>
      <c r="BB59" s="145"/>
      <c r="BC59" s="145"/>
      <c r="BD59" s="145"/>
    </row>
    <row r="60" spans="1:56" ht="25.5" customHeight="1" x14ac:dyDescent="0.55000000000000004">
      <c r="A60" s="151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50" t="str">
        <f>T40</f>
        <v xml:space="preserve">   กุมภาพันธ์  2569 </v>
      </c>
      <c r="U60" s="150"/>
      <c r="V60" s="150"/>
      <c r="W60" s="150"/>
      <c r="X60" s="150"/>
      <c r="Y60" s="150"/>
      <c r="Z60" s="150"/>
      <c r="AA60" s="150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7"/>
      <c r="AS60" s="159"/>
      <c r="AT60" s="162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</row>
    <row r="61" spans="1:56" ht="24" customHeight="1" x14ac:dyDescent="0.55000000000000004">
      <c r="A61" s="167" t="s">
        <v>71</v>
      </c>
      <c r="B61" s="164"/>
      <c r="C61" s="164"/>
      <c r="D61" s="164"/>
      <c r="E61" s="166"/>
      <c r="F61" s="164"/>
      <c r="G61" s="164"/>
      <c r="H61" s="164"/>
      <c r="I61" s="164"/>
      <c r="K61" s="164"/>
      <c r="T61" s="165" t="s">
        <v>70</v>
      </c>
      <c r="V61" s="159" t="s">
        <v>69</v>
      </c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3"/>
      <c r="AS61" s="159"/>
      <c r="AT61" s="162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</row>
    <row r="62" spans="1:56" ht="39" customHeight="1" x14ac:dyDescent="0.55000000000000004">
      <c r="A62" s="155" t="s">
        <v>68</v>
      </c>
      <c r="B62" s="159"/>
      <c r="C62" s="159"/>
      <c r="D62" s="159"/>
      <c r="E62" s="161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60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8"/>
      <c r="AS62" s="145"/>
      <c r="AT62" s="146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</row>
    <row r="63" spans="1:56" ht="27.75" customHeight="1" x14ac:dyDescent="0.55000000000000004">
      <c r="A63" s="156" t="s">
        <v>67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45"/>
      <c r="S63" s="145"/>
      <c r="T63" s="155"/>
      <c r="U63" s="157" t="s">
        <v>66</v>
      </c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53"/>
      <c r="AS63" s="145"/>
      <c r="AT63" s="146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</row>
    <row r="64" spans="1:56" ht="21.75" customHeight="1" x14ac:dyDescent="0.55000000000000004">
      <c r="A64" s="156" t="s">
        <v>65</v>
      </c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45"/>
      <c r="P64" s="145"/>
      <c r="Q64" s="145"/>
      <c r="R64" s="145"/>
      <c r="S64" s="145"/>
      <c r="T64" s="155"/>
      <c r="U64" s="145"/>
      <c r="V64" s="154" t="s">
        <v>64</v>
      </c>
      <c r="W64" s="154"/>
      <c r="X64" s="154"/>
      <c r="Y64" s="154"/>
      <c r="Z64" s="154"/>
      <c r="AA64" s="154"/>
      <c r="AB64" s="154"/>
      <c r="AC64" s="154"/>
      <c r="AD64" s="154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53"/>
      <c r="AS64" s="145"/>
      <c r="AT64" s="146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</row>
    <row r="65" spans="1:56" ht="30.75" customHeight="1" x14ac:dyDescent="0.55000000000000004">
      <c r="A65" s="152" t="s">
        <v>63</v>
      </c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8"/>
      <c r="P65" s="148"/>
      <c r="Q65" s="148"/>
      <c r="R65" s="148"/>
      <c r="S65" s="148"/>
      <c r="T65" s="151"/>
      <c r="U65" s="148"/>
      <c r="V65" s="150" t="str">
        <f>T60</f>
        <v xml:space="preserve">   กุมภาพันธ์  2569 </v>
      </c>
      <c r="W65" s="149"/>
      <c r="X65" s="149"/>
      <c r="Y65" s="149"/>
      <c r="Z65" s="149"/>
      <c r="AA65" s="149"/>
      <c r="AB65" s="149"/>
      <c r="AC65" s="149"/>
      <c r="AD65" s="149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7"/>
      <c r="AS65" s="145"/>
      <c r="AT65" s="146"/>
      <c r="AU65" s="146"/>
      <c r="AV65" s="145"/>
      <c r="AW65" s="145"/>
      <c r="AX65" s="145"/>
      <c r="AY65" s="145"/>
      <c r="AZ65" s="145"/>
      <c r="BA65" s="145"/>
      <c r="BB65" s="145"/>
      <c r="BC65" s="145"/>
      <c r="BD65" s="145"/>
    </row>
    <row r="66" spans="1:56" ht="18.75" customHeight="1" x14ac:dyDescent="0.55000000000000004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6"/>
      <c r="AU66" s="146"/>
      <c r="AV66" s="145"/>
      <c r="AW66" s="145"/>
      <c r="AX66" s="145"/>
      <c r="AY66" s="145"/>
      <c r="AZ66" s="145"/>
      <c r="BA66" s="145"/>
      <c r="BB66" s="145"/>
      <c r="BC66" s="145"/>
      <c r="BD66" s="145"/>
    </row>
    <row r="67" spans="1:56" ht="18.75" customHeight="1" x14ac:dyDescent="0.55000000000000004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6"/>
      <c r="AU67" s="146"/>
      <c r="AV67" s="145"/>
      <c r="AW67" s="145"/>
      <c r="AX67" s="145"/>
      <c r="AY67" s="145"/>
      <c r="AZ67" s="145"/>
      <c r="BA67" s="145"/>
      <c r="BB67" s="145"/>
      <c r="BC67" s="145"/>
      <c r="BD67" s="145"/>
    </row>
    <row r="68" spans="1:56" ht="18.75" customHeight="1" x14ac:dyDescent="0.55000000000000004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6"/>
      <c r="AU68" s="146"/>
      <c r="AV68" s="145"/>
      <c r="AW68" s="145"/>
      <c r="AX68" s="145"/>
      <c r="AY68" s="145"/>
      <c r="AZ68" s="145"/>
      <c r="BA68" s="145"/>
      <c r="BB68" s="145"/>
      <c r="BC68" s="145"/>
      <c r="BD68" s="145"/>
    </row>
    <row r="69" spans="1:56" ht="18.75" customHeight="1" x14ac:dyDescent="0.55000000000000004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6"/>
      <c r="AU69" s="146"/>
      <c r="AV69" s="145"/>
      <c r="AW69" s="145"/>
      <c r="AX69" s="145"/>
      <c r="AY69" s="145"/>
      <c r="AZ69" s="145"/>
      <c r="BA69" s="145"/>
      <c r="BB69" s="145"/>
      <c r="BC69" s="145"/>
      <c r="BD69" s="145"/>
    </row>
    <row r="70" spans="1:56" ht="18.75" customHeight="1" x14ac:dyDescent="0.55000000000000004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6"/>
      <c r="AU70" s="146"/>
      <c r="AV70" s="145"/>
      <c r="AW70" s="145"/>
      <c r="AX70" s="145"/>
      <c r="AY70" s="145"/>
      <c r="AZ70" s="145"/>
      <c r="BA70" s="145"/>
      <c r="BB70" s="145"/>
      <c r="BC70" s="145"/>
      <c r="BD70" s="145"/>
    </row>
    <row r="71" spans="1:56" ht="18.75" customHeight="1" x14ac:dyDescent="0.55000000000000004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6"/>
      <c r="AU71" s="146"/>
      <c r="AV71" s="145"/>
      <c r="AW71" s="145"/>
      <c r="AX71" s="145"/>
      <c r="AY71" s="145"/>
      <c r="AZ71" s="145"/>
      <c r="BA71" s="145"/>
      <c r="BB71" s="145"/>
      <c r="BC71" s="145"/>
      <c r="BD71" s="145"/>
    </row>
    <row r="72" spans="1:56" ht="18.75" customHeight="1" x14ac:dyDescent="0.55000000000000004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6"/>
      <c r="AU72" s="146"/>
      <c r="AV72" s="145"/>
      <c r="AW72" s="145"/>
      <c r="AX72" s="145"/>
      <c r="AY72" s="145"/>
      <c r="AZ72" s="145"/>
      <c r="BA72" s="145"/>
      <c r="BB72" s="145"/>
      <c r="BC72" s="145"/>
      <c r="BD72" s="145"/>
    </row>
    <row r="73" spans="1:56" ht="18.75" customHeight="1" x14ac:dyDescent="0.55000000000000004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6"/>
      <c r="AU73" s="146"/>
      <c r="AV73" s="145"/>
      <c r="AW73" s="145"/>
      <c r="AX73" s="145"/>
      <c r="AY73" s="145"/>
      <c r="AZ73" s="145"/>
      <c r="BA73" s="145"/>
      <c r="BB73" s="145"/>
      <c r="BC73" s="145"/>
      <c r="BD73" s="145"/>
    </row>
    <row r="74" spans="1:56" ht="18.75" customHeight="1" x14ac:dyDescent="0.55000000000000004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6"/>
      <c r="AU74" s="146"/>
      <c r="AV74" s="145"/>
      <c r="AW74" s="145"/>
      <c r="AX74" s="145"/>
      <c r="AY74" s="145"/>
      <c r="AZ74" s="145"/>
      <c r="BA74" s="145"/>
      <c r="BB74" s="145"/>
      <c r="BC74" s="145"/>
      <c r="BD74" s="145"/>
    </row>
    <row r="75" spans="1:56" ht="18.75" customHeight="1" x14ac:dyDescent="0.55000000000000004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6"/>
      <c r="AU75" s="146"/>
      <c r="AV75" s="145"/>
      <c r="AW75" s="145"/>
      <c r="AX75" s="145"/>
      <c r="AY75" s="145"/>
      <c r="AZ75" s="145"/>
      <c r="BA75" s="145"/>
      <c r="BB75" s="145"/>
      <c r="BC75" s="145"/>
      <c r="BD75" s="145"/>
    </row>
    <row r="76" spans="1:56" ht="18.75" customHeight="1" x14ac:dyDescent="0.55000000000000004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6"/>
      <c r="AU76" s="146"/>
      <c r="AV76" s="145"/>
      <c r="AW76" s="145"/>
      <c r="AX76" s="145"/>
      <c r="AY76" s="145"/>
      <c r="AZ76" s="145"/>
      <c r="BA76" s="145"/>
      <c r="BB76" s="145"/>
      <c r="BC76" s="145"/>
      <c r="BD76" s="145"/>
    </row>
    <row r="77" spans="1:56" ht="18.75" customHeight="1" x14ac:dyDescent="0.55000000000000004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6"/>
      <c r="AU77" s="146"/>
      <c r="AV77" s="145"/>
      <c r="AW77" s="145"/>
      <c r="AX77" s="145"/>
      <c r="AY77" s="145"/>
      <c r="AZ77" s="145"/>
      <c r="BA77" s="145"/>
      <c r="BB77" s="145"/>
      <c r="BC77" s="145"/>
      <c r="BD77" s="145"/>
    </row>
    <row r="78" spans="1:56" ht="18.75" customHeight="1" x14ac:dyDescent="0.55000000000000004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6"/>
      <c r="AU78" s="146"/>
      <c r="AV78" s="145"/>
      <c r="AW78" s="145"/>
      <c r="AX78" s="145"/>
      <c r="AY78" s="145"/>
      <c r="AZ78" s="145"/>
      <c r="BA78" s="145"/>
      <c r="BB78" s="145"/>
      <c r="BC78" s="145"/>
      <c r="BD78" s="145"/>
    </row>
    <row r="79" spans="1:56" ht="18.75" customHeight="1" x14ac:dyDescent="0.55000000000000004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6"/>
      <c r="AU79" s="146"/>
      <c r="AV79" s="145"/>
      <c r="AW79" s="145"/>
      <c r="AX79" s="145"/>
      <c r="AY79" s="145"/>
      <c r="AZ79" s="145"/>
      <c r="BA79" s="145"/>
      <c r="BB79" s="145"/>
      <c r="BC79" s="145"/>
      <c r="BD79" s="145"/>
    </row>
    <row r="80" spans="1:56" ht="18.75" customHeight="1" x14ac:dyDescent="0.55000000000000004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6"/>
      <c r="AU80" s="146"/>
      <c r="AV80" s="145"/>
      <c r="AW80" s="145"/>
      <c r="AX80" s="145"/>
      <c r="AY80" s="145"/>
      <c r="AZ80" s="145"/>
      <c r="BA80" s="145"/>
      <c r="BB80" s="145"/>
      <c r="BC80" s="145"/>
      <c r="BD80" s="145"/>
    </row>
    <row r="81" spans="1:56" ht="18.75" customHeight="1" x14ac:dyDescent="0.55000000000000004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6"/>
      <c r="AU81" s="146"/>
      <c r="AV81" s="145"/>
      <c r="AW81" s="145"/>
      <c r="AX81" s="145"/>
      <c r="AY81" s="145"/>
      <c r="AZ81" s="145"/>
      <c r="BA81" s="145"/>
      <c r="BB81" s="145"/>
      <c r="BC81" s="145"/>
      <c r="BD81" s="145"/>
    </row>
    <row r="82" spans="1:56" ht="18.75" customHeight="1" x14ac:dyDescent="0.55000000000000004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6"/>
      <c r="AU82" s="146"/>
      <c r="AV82" s="145"/>
      <c r="AW82" s="145"/>
      <c r="AX82" s="145"/>
      <c r="AY82" s="145"/>
      <c r="AZ82" s="145"/>
      <c r="BA82" s="145"/>
      <c r="BB82" s="145"/>
      <c r="BC82" s="145"/>
      <c r="BD82" s="145"/>
    </row>
    <row r="83" spans="1:56" ht="18.75" customHeight="1" x14ac:dyDescent="0.55000000000000004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6"/>
      <c r="AU83" s="146"/>
      <c r="AV83" s="145"/>
      <c r="AW83" s="145"/>
      <c r="AX83" s="145"/>
      <c r="AY83" s="145"/>
      <c r="AZ83" s="145"/>
      <c r="BA83" s="145"/>
      <c r="BB83" s="145"/>
      <c r="BC83" s="145"/>
      <c r="BD83" s="145"/>
    </row>
    <row r="84" spans="1:56" ht="18.75" customHeight="1" x14ac:dyDescent="0.55000000000000004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6"/>
      <c r="AU84" s="146"/>
      <c r="AV84" s="145"/>
      <c r="AW84" s="145"/>
      <c r="AX84" s="145"/>
      <c r="AY84" s="145"/>
      <c r="AZ84" s="145"/>
      <c r="BA84" s="145"/>
      <c r="BB84" s="145"/>
      <c r="BC84" s="145"/>
      <c r="BD84" s="145"/>
    </row>
    <row r="85" spans="1:56" ht="18.75" customHeight="1" x14ac:dyDescent="0.55000000000000004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6"/>
      <c r="AU85" s="146"/>
      <c r="AV85" s="145"/>
      <c r="AW85" s="145"/>
      <c r="AX85" s="145"/>
      <c r="AY85" s="145"/>
      <c r="AZ85" s="145"/>
      <c r="BA85" s="145"/>
      <c r="BB85" s="145"/>
      <c r="BC85" s="145"/>
      <c r="BD85" s="145"/>
    </row>
    <row r="86" spans="1:56" ht="18.75" customHeight="1" x14ac:dyDescent="0.55000000000000004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6"/>
      <c r="AU86" s="146"/>
      <c r="AV86" s="145"/>
      <c r="AW86" s="145"/>
      <c r="AX86" s="145"/>
      <c r="AY86" s="145"/>
      <c r="AZ86" s="145"/>
      <c r="BA86" s="145"/>
      <c r="BB86" s="145"/>
      <c r="BC86" s="145"/>
      <c r="BD86" s="145"/>
    </row>
    <row r="87" spans="1:56" ht="18.75" customHeight="1" x14ac:dyDescent="0.55000000000000004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6"/>
      <c r="AU87" s="146"/>
      <c r="AV87" s="145"/>
      <c r="AW87" s="145"/>
      <c r="AX87" s="145"/>
      <c r="AY87" s="145"/>
      <c r="AZ87" s="145"/>
      <c r="BA87" s="145"/>
      <c r="BB87" s="145"/>
      <c r="BC87" s="145"/>
      <c r="BD87" s="145"/>
    </row>
    <row r="88" spans="1:56" ht="18.75" customHeight="1" x14ac:dyDescent="0.55000000000000004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6"/>
      <c r="AU88" s="146"/>
      <c r="AV88" s="145"/>
      <c r="AW88" s="145"/>
      <c r="AX88" s="145"/>
      <c r="AY88" s="145"/>
      <c r="AZ88" s="145"/>
      <c r="BA88" s="145"/>
      <c r="BB88" s="145"/>
      <c r="BC88" s="145"/>
      <c r="BD88" s="145"/>
    </row>
    <row r="89" spans="1:56" ht="18.75" customHeight="1" x14ac:dyDescent="0.55000000000000004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6"/>
      <c r="AU89" s="146"/>
      <c r="AV89" s="145"/>
      <c r="AW89" s="145"/>
      <c r="AX89" s="145"/>
      <c r="AY89" s="145"/>
      <c r="AZ89" s="145"/>
      <c r="BA89" s="145"/>
      <c r="BB89" s="145"/>
      <c r="BC89" s="145"/>
      <c r="BD89" s="145"/>
    </row>
    <row r="90" spans="1:56" ht="18.75" customHeight="1" x14ac:dyDescent="0.55000000000000004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6"/>
      <c r="AU90" s="146"/>
      <c r="AV90" s="145"/>
      <c r="AW90" s="145"/>
      <c r="AX90" s="145"/>
      <c r="AY90" s="145"/>
      <c r="AZ90" s="145"/>
      <c r="BA90" s="145"/>
      <c r="BB90" s="145"/>
      <c r="BC90" s="145"/>
      <c r="BD90" s="145"/>
    </row>
    <row r="91" spans="1:56" ht="18.75" customHeight="1" x14ac:dyDescent="0.55000000000000004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6"/>
      <c r="AU91" s="146"/>
      <c r="AV91" s="145"/>
      <c r="AW91" s="145"/>
      <c r="AX91" s="145"/>
      <c r="AY91" s="145"/>
      <c r="AZ91" s="145"/>
      <c r="BA91" s="145"/>
      <c r="BB91" s="145"/>
      <c r="BC91" s="145"/>
      <c r="BD91" s="145"/>
    </row>
    <row r="92" spans="1:56" ht="18.75" customHeight="1" x14ac:dyDescent="0.55000000000000004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6"/>
      <c r="AU92" s="146"/>
      <c r="AV92" s="145"/>
      <c r="AW92" s="145"/>
      <c r="AX92" s="145"/>
      <c r="AY92" s="145"/>
      <c r="AZ92" s="145"/>
      <c r="BA92" s="145"/>
      <c r="BB92" s="145"/>
      <c r="BC92" s="145"/>
      <c r="BD92" s="145"/>
    </row>
    <row r="93" spans="1:56" ht="18.75" customHeight="1" x14ac:dyDescent="0.55000000000000004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6"/>
      <c r="AU93" s="146"/>
      <c r="AV93" s="145"/>
      <c r="AW93" s="145"/>
      <c r="AX93" s="145"/>
      <c r="AY93" s="145"/>
      <c r="AZ93" s="145"/>
      <c r="BA93" s="145"/>
      <c r="BB93" s="145"/>
      <c r="BC93" s="145"/>
      <c r="BD93" s="145"/>
    </row>
    <row r="94" spans="1:56" ht="18.75" customHeight="1" x14ac:dyDescent="0.55000000000000004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6"/>
      <c r="AU94" s="146"/>
      <c r="AV94" s="145"/>
      <c r="AW94" s="145"/>
      <c r="AX94" s="145"/>
      <c r="AY94" s="145"/>
      <c r="AZ94" s="145"/>
      <c r="BA94" s="145"/>
      <c r="BB94" s="145"/>
      <c r="BC94" s="145"/>
      <c r="BD94" s="145"/>
    </row>
    <row r="95" spans="1:56" ht="18.75" customHeight="1" x14ac:dyDescent="0.55000000000000004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6"/>
      <c r="AU95" s="146"/>
      <c r="AV95" s="145"/>
      <c r="AW95" s="145"/>
      <c r="AX95" s="145"/>
      <c r="AY95" s="145"/>
      <c r="AZ95" s="145"/>
      <c r="BA95" s="145"/>
      <c r="BB95" s="145"/>
      <c r="BC95" s="145"/>
      <c r="BD95" s="145"/>
    </row>
    <row r="96" spans="1:56" ht="18.75" customHeight="1" x14ac:dyDescent="0.55000000000000004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6"/>
      <c r="AU96" s="146"/>
      <c r="AV96" s="145"/>
      <c r="AW96" s="145"/>
      <c r="AX96" s="145"/>
      <c r="AY96" s="145"/>
      <c r="AZ96" s="145"/>
      <c r="BA96" s="145"/>
      <c r="BB96" s="145"/>
      <c r="BC96" s="145"/>
      <c r="BD96" s="145"/>
    </row>
    <row r="97" spans="1:56" ht="18.75" customHeight="1" x14ac:dyDescent="0.55000000000000004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6"/>
      <c r="AU97" s="146"/>
      <c r="AV97" s="145"/>
      <c r="AW97" s="145"/>
      <c r="AX97" s="145"/>
      <c r="AY97" s="145"/>
      <c r="AZ97" s="145"/>
      <c r="BA97" s="145"/>
      <c r="BB97" s="145"/>
      <c r="BC97" s="145"/>
      <c r="BD97" s="145"/>
    </row>
    <row r="98" spans="1:56" ht="18.75" customHeight="1" x14ac:dyDescent="0.55000000000000004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6"/>
      <c r="AU98" s="146"/>
      <c r="AV98" s="145"/>
      <c r="AW98" s="145"/>
      <c r="AX98" s="145"/>
      <c r="AY98" s="145"/>
      <c r="AZ98" s="145"/>
      <c r="BA98" s="145"/>
      <c r="BB98" s="145"/>
      <c r="BC98" s="145"/>
      <c r="BD98" s="145"/>
    </row>
    <row r="99" spans="1:56" ht="18.75" customHeight="1" x14ac:dyDescent="0.55000000000000004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6"/>
      <c r="AU99" s="146"/>
      <c r="AV99" s="145"/>
      <c r="AW99" s="145"/>
      <c r="AX99" s="145"/>
      <c r="AY99" s="145"/>
      <c r="AZ99" s="145"/>
      <c r="BA99" s="145"/>
      <c r="BB99" s="145"/>
      <c r="BC99" s="145"/>
      <c r="BD99" s="145"/>
    </row>
    <row r="100" spans="1:56" ht="18.75" customHeight="1" x14ac:dyDescent="0.55000000000000004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6"/>
      <c r="AU100" s="146"/>
      <c r="AV100" s="145"/>
      <c r="AW100" s="145"/>
      <c r="AX100" s="145"/>
      <c r="AY100" s="145"/>
      <c r="AZ100" s="145"/>
      <c r="BA100" s="145"/>
      <c r="BB100" s="145"/>
      <c r="BC100" s="145"/>
      <c r="BD100" s="145"/>
    </row>
    <row r="101" spans="1:56" ht="18.75" customHeight="1" x14ac:dyDescent="0.55000000000000004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6"/>
      <c r="AU101" s="146"/>
      <c r="AV101" s="145"/>
      <c r="AW101" s="145"/>
      <c r="AX101" s="145"/>
      <c r="AY101" s="145"/>
      <c r="AZ101" s="145"/>
      <c r="BA101" s="145"/>
      <c r="BB101" s="145"/>
      <c r="BC101" s="145"/>
      <c r="BD101" s="145"/>
    </row>
    <row r="102" spans="1:56" ht="18.75" customHeight="1" x14ac:dyDescent="0.55000000000000004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6"/>
      <c r="AU102" s="146"/>
      <c r="AV102" s="145"/>
      <c r="AW102" s="145"/>
      <c r="AX102" s="145"/>
      <c r="AY102" s="145"/>
      <c r="AZ102" s="145"/>
      <c r="BA102" s="145"/>
      <c r="BB102" s="145"/>
      <c r="BC102" s="145"/>
      <c r="BD102" s="145"/>
    </row>
    <row r="103" spans="1:56" ht="18.75" customHeight="1" x14ac:dyDescent="0.55000000000000004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6"/>
      <c r="AU103" s="146"/>
      <c r="AV103" s="145"/>
      <c r="AW103" s="145"/>
      <c r="AX103" s="145"/>
      <c r="AY103" s="145"/>
      <c r="AZ103" s="145"/>
      <c r="BA103" s="145"/>
      <c r="BB103" s="145"/>
      <c r="BC103" s="145"/>
      <c r="BD103" s="145"/>
    </row>
    <row r="104" spans="1:56" ht="18.75" customHeight="1" x14ac:dyDescent="0.55000000000000004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  <c r="AP104" s="145"/>
      <c r="AQ104" s="145"/>
      <c r="AR104" s="145"/>
      <c r="AS104" s="145"/>
      <c r="AT104" s="146"/>
      <c r="AU104" s="146"/>
      <c r="AV104" s="145"/>
      <c r="AW104" s="145"/>
      <c r="AX104" s="145"/>
      <c r="AY104" s="145"/>
      <c r="AZ104" s="145"/>
      <c r="BA104" s="145"/>
      <c r="BB104" s="145"/>
      <c r="BC104" s="145"/>
      <c r="BD104" s="145"/>
    </row>
    <row r="105" spans="1:56" ht="18.75" customHeight="1" x14ac:dyDescent="0.55000000000000004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6"/>
      <c r="AU105" s="146"/>
      <c r="AV105" s="145"/>
      <c r="AW105" s="145"/>
      <c r="AX105" s="145"/>
      <c r="AY105" s="145"/>
      <c r="AZ105" s="145"/>
      <c r="BA105" s="145"/>
      <c r="BB105" s="145"/>
      <c r="BC105" s="145"/>
      <c r="BD105" s="145"/>
    </row>
    <row r="106" spans="1:56" ht="18.75" customHeight="1" x14ac:dyDescent="0.55000000000000004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6"/>
      <c r="AU106" s="146"/>
      <c r="AV106" s="145"/>
      <c r="AW106" s="145"/>
      <c r="AX106" s="145"/>
      <c r="AY106" s="145"/>
      <c r="AZ106" s="145"/>
      <c r="BA106" s="145"/>
      <c r="BB106" s="145"/>
      <c r="BC106" s="145"/>
      <c r="BD106" s="145"/>
    </row>
    <row r="107" spans="1:56" ht="18.75" customHeight="1" x14ac:dyDescent="0.55000000000000004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6"/>
      <c r="AU107" s="146"/>
      <c r="AV107" s="145"/>
      <c r="AW107" s="145"/>
      <c r="AX107" s="145"/>
      <c r="AY107" s="145"/>
      <c r="AZ107" s="145"/>
      <c r="BA107" s="145"/>
      <c r="BB107" s="145"/>
      <c r="BC107" s="145"/>
      <c r="BD107" s="145"/>
    </row>
    <row r="108" spans="1:56" ht="18.75" customHeight="1" x14ac:dyDescent="0.55000000000000004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6"/>
      <c r="AU108" s="146"/>
      <c r="AV108" s="145"/>
      <c r="AW108" s="145"/>
      <c r="AX108" s="145"/>
      <c r="AY108" s="145"/>
      <c r="AZ108" s="145"/>
      <c r="BA108" s="145"/>
      <c r="BB108" s="145"/>
      <c r="BC108" s="145"/>
      <c r="BD108" s="145"/>
    </row>
    <row r="109" spans="1:56" ht="18.75" customHeight="1" x14ac:dyDescent="0.55000000000000004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6"/>
      <c r="AU109" s="146"/>
      <c r="AV109" s="145"/>
      <c r="AW109" s="145"/>
      <c r="AX109" s="145"/>
      <c r="AY109" s="145"/>
      <c r="AZ109" s="145"/>
      <c r="BA109" s="145"/>
      <c r="BB109" s="145"/>
      <c r="BC109" s="145"/>
      <c r="BD109" s="145"/>
    </row>
    <row r="110" spans="1:56" ht="18.75" customHeight="1" x14ac:dyDescent="0.55000000000000004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6"/>
      <c r="AU110" s="146"/>
      <c r="AV110" s="145"/>
      <c r="AW110" s="145"/>
      <c r="AX110" s="145"/>
      <c r="AY110" s="145"/>
      <c r="AZ110" s="145"/>
      <c r="BA110" s="145"/>
      <c r="BB110" s="145"/>
      <c r="BC110" s="145"/>
      <c r="BD110" s="145"/>
    </row>
    <row r="111" spans="1:56" ht="18.75" customHeight="1" x14ac:dyDescent="0.55000000000000004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  <c r="AP111" s="145"/>
      <c r="AQ111" s="145"/>
      <c r="AR111" s="145"/>
      <c r="AS111" s="145"/>
      <c r="AT111" s="146"/>
      <c r="AU111" s="146"/>
      <c r="AV111" s="145"/>
      <c r="AW111" s="145"/>
      <c r="AX111" s="145"/>
      <c r="AY111" s="145"/>
      <c r="AZ111" s="145"/>
      <c r="BA111" s="145"/>
      <c r="BB111" s="145"/>
      <c r="BC111" s="145"/>
      <c r="BD111" s="145"/>
    </row>
    <row r="112" spans="1:56" ht="18.75" customHeight="1" x14ac:dyDescent="0.55000000000000004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6"/>
      <c r="AU112" s="146"/>
      <c r="AV112" s="145"/>
      <c r="AW112" s="145"/>
      <c r="AX112" s="145"/>
      <c r="AY112" s="145"/>
      <c r="AZ112" s="145"/>
      <c r="BA112" s="145"/>
      <c r="BB112" s="145"/>
      <c r="BC112" s="145"/>
      <c r="BD112" s="145"/>
    </row>
    <row r="113" spans="1:56" ht="18.75" customHeight="1" x14ac:dyDescent="0.55000000000000004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6"/>
      <c r="AU113" s="146"/>
      <c r="AV113" s="145"/>
      <c r="AW113" s="145"/>
      <c r="AX113" s="145"/>
      <c r="AY113" s="145"/>
      <c r="AZ113" s="145"/>
      <c r="BA113" s="145"/>
      <c r="BB113" s="145"/>
      <c r="BC113" s="145"/>
      <c r="BD113" s="145"/>
    </row>
    <row r="114" spans="1:56" ht="18.75" customHeight="1" x14ac:dyDescent="0.55000000000000004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6"/>
      <c r="AU114" s="146"/>
      <c r="AV114" s="145"/>
      <c r="AW114" s="145"/>
      <c r="AX114" s="145"/>
      <c r="AY114" s="145"/>
      <c r="AZ114" s="145"/>
      <c r="BA114" s="145"/>
      <c r="BB114" s="145"/>
      <c r="BC114" s="145"/>
      <c r="BD114" s="145"/>
    </row>
    <row r="115" spans="1:56" ht="18.75" customHeight="1" x14ac:dyDescent="0.55000000000000004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6"/>
      <c r="AU115" s="146"/>
      <c r="AV115" s="145"/>
      <c r="AW115" s="145"/>
      <c r="AX115" s="145"/>
      <c r="AY115" s="145"/>
      <c r="AZ115" s="145"/>
      <c r="BA115" s="145"/>
      <c r="BB115" s="145"/>
      <c r="BC115" s="145"/>
      <c r="BD115" s="145"/>
    </row>
    <row r="116" spans="1:56" ht="18.75" customHeight="1" x14ac:dyDescent="0.55000000000000004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5"/>
      <c r="AM116" s="145"/>
      <c r="AN116" s="145"/>
      <c r="AO116" s="145"/>
      <c r="AP116" s="145"/>
      <c r="AQ116" s="145"/>
      <c r="AR116" s="145"/>
      <c r="AS116" s="145"/>
      <c r="AT116" s="146"/>
      <c r="AU116" s="146"/>
      <c r="AV116" s="145"/>
      <c r="AW116" s="145"/>
      <c r="AX116" s="145"/>
      <c r="AY116" s="145"/>
      <c r="AZ116" s="145"/>
      <c r="BA116" s="145"/>
      <c r="BB116" s="145"/>
      <c r="BC116" s="145"/>
      <c r="BD116" s="145"/>
    </row>
    <row r="117" spans="1:56" ht="18.75" customHeight="1" x14ac:dyDescent="0.55000000000000004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/>
      <c r="AT117" s="146"/>
      <c r="AU117" s="146"/>
      <c r="AV117" s="145"/>
      <c r="AW117" s="145"/>
      <c r="AX117" s="145"/>
      <c r="AY117" s="145"/>
      <c r="AZ117" s="145"/>
      <c r="BA117" s="145"/>
      <c r="BB117" s="145"/>
      <c r="BC117" s="145"/>
      <c r="BD117" s="145"/>
    </row>
    <row r="118" spans="1:56" ht="18.75" customHeight="1" x14ac:dyDescent="0.55000000000000004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  <c r="AQ118" s="145"/>
      <c r="AR118" s="145"/>
      <c r="AS118" s="145"/>
      <c r="AT118" s="146"/>
      <c r="AU118" s="146"/>
      <c r="AV118" s="145"/>
      <c r="AW118" s="145"/>
      <c r="AX118" s="145"/>
      <c r="AY118" s="145"/>
      <c r="AZ118" s="145"/>
      <c r="BA118" s="145"/>
      <c r="BB118" s="145"/>
      <c r="BC118" s="145"/>
      <c r="BD118" s="145"/>
    </row>
    <row r="119" spans="1:56" ht="18.75" customHeight="1" x14ac:dyDescent="0.55000000000000004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5"/>
      <c r="AR119" s="145"/>
      <c r="AS119" s="145"/>
      <c r="AT119" s="146"/>
      <c r="AU119" s="146"/>
      <c r="AV119" s="145"/>
      <c r="AW119" s="145"/>
      <c r="AX119" s="145"/>
      <c r="AY119" s="145"/>
      <c r="AZ119" s="145"/>
      <c r="BA119" s="145"/>
      <c r="BB119" s="145"/>
      <c r="BC119" s="145"/>
      <c r="BD119" s="145"/>
    </row>
    <row r="120" spans="1:56" ht="18.75" customHeight="1" x14ac:dyDescent="0.55000000000000004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  <c r="AP120" s="145"/>
      <c r="AQ120" s="145"/>
      <c r="AR120" s="145"/>
      <c r="AS120" s="145"/>
      <c r="AT120" s="146"/>
      <c r="AU120" s="146"/>
      <c r="AV120" s="145"/>
      <c r="AW120" s="145"/>
      <c r="AX120" s="145"/>
      <c r="AY120" s="145"/>
      <c r="AZ120" s="145"/>
      <c r="BA120" s="145"/>
      <c r="BB120" s="145"/>
      <c r="BC120" s="145"/>
      <c r="BD120" s="145"/>
    </row>
    <row r="121" spans="1:56" ht="18.75" customHeight="1" x14ac:dyDescent="0.55000000000000004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6"/>
      <c r="AU121" s="146"/>
      <c r="AV121" s="145"/>
      <c r="AW121" s="145"/>
      <c r="AX121" s="145"/>
      <c r="AY121" s="145"/>
      <c r="AZ121" s="145"/>
      <c r="BA121" s="145"/>
      <c r="BB121" s="145"/>
      <c r="BC121" s="145"/>
      <c r="BD121" s="145"/>
    </row>
    <row r="122" spans="1:56" ht="18.75" customHeight="1" x14ac:dyDescent="0.55000000000000004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  <c r="AP122" s="145"/>
      <c r="AQ122" s="145"/>
      <c r="AR122" s="145"/>
      <c r="AS122" s="145"/>
      <c r="AT122" s="146"/>
      <c r="AU122" s="146"/>
      <c r="AV122" s="145"/>
      <c r="AW122" s="145"/>
      <c r="AX122" s="145"/>
      <c r="AY122" s="145"/>
      <c r="AZ122" s="145"/>
      <c r="BA122" s="145"/>
      <c r="BB122" s="145"/>
      <c r="BC122" s="145"/>
      <c r="BD122" s="145"/>
    </row>
    <row r="123" spans="1:56" ht="18.75" customHeight="1" x14ac:dyDescent="0.55000000000000004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  <c r="AP123" s="145"/>
      <c r="AQ123" s="145"/>
      <c r="AR123" s="145"/>
      <c r="AS123" s="145"/>
      <c r="AT123" s="146"/>
      <c r="AU123" s="146"/>
      <c r="AV123" s="145"/>
      <c r="AW123" s="145"/>
      <c r="AX123" s="145"/>
      <c r="AY123" s="145"/>
      <c r="AZ123" s="145"/>
      <c r="BA123" s="145"/>
      <c r="BB123" s="145"/>
      <c r="BC123" s="145"/>
      <c r="BD123" s="145"/>
    </row>
    <row r="124" spans="1:56" ht="18.75" customHeight="1" x14ac:dyDescent="0.55000000000000004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45"/>
      <c r="AP124" s="145"/>
      <c r="AQ124" s="145"/>
      <c r="AR124" s="145"/>
      <c r="AS124" s="145"/>
      <c r="AT124" s="146"/>
      <c r="AU124" s="146"/>
      <c r="AV124" s="145"/>
      <c r="AW124" s="145"/>
      <c r="AX124" s="145"/>
      <c r="AY124" s="145"/>
      <c r="AZ124" s="145"/>
      <c r="BA124" s="145"/>
      <c r="BB124" s="145"/>
      <c r="BC124" s="145"/>
      <c r="BD124" s="145"/>
    </row>
    <row r="125" spans="1:56" ht="18.75" customHeight="1" x14ac:dyDescent="0.55000000000000004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  <c r="AL125" s="145"/>
      <c r="AM125" s="145"/>
      <c r="AN125" s="145"/>
      <c r="AO125" s="145"/>
      <c r="AP125" s="145"/>
      <c r="AQ125" s="145"/>
      <c r="AR125" s="145"/>
      <c r="AS125" s="145"/>
      <c r="AT125" s="146"/>
      <c r="AU125" s="146"/>
      <c r="AV125" s="145"/>
      <c r="AW125" s="145"/>
      <c r="AX125" s="145"/>
      <c r="AY125" s="145"/>
      <c r="AZ125" s="145"/>
      <c r="BA125" s="145"/>
      <c r="BB125" s="145"/>
      <c r="BC125" s="145"/>
      <c r="BD125" s="145"/>
    </row>
    <row r="126" spans="1:56" ht="18.75" customHeight="1" x14ac:dyDescent="0.55000000000000004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  <c r="AL126" s="145"/>
      <c r="AM126" s="145"/>
      <c r="AN126" s="145"/>
      <c r="AO126" s="145"/>
      <c r="AP126" s="145"/>
      <c r="AQ126" s="145"/>
      <c r="AR126" s="145"/>
      <c r="AS126" s="145"/>
      <c r="AT126" s="146"/>
      <c r="AU126" s="146"/>
      <c r="AV126" s="145"/>
      <c r="AW126" s="145"/>
      <c r="AX126" s="145"/>
      <c r="AY126" s="145"/>
      <c r="AZ126" s="145"/>
      <c r="BA126" s="145"/>
      <c r="BB126" s="145"/>
      <c r="BC126" s="145"/>
      <c r="BD126" s="145"/>
    </row>
    <row r="127" spans="1:56" ht="18.75" customHeight="1" x14ac:dyDescent="0.55000000000000004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6"/>
      <c r="AU127" s="146"/>
      <c r="AV127" s="145"/>
      <c r="AW127" s="145"/>
      <c r="AX127" s="145"/>
      <c r="AY127" s="145"/>
      <c r="AZ127" s="145"/>
      <c r="BA127" s="145"/>
      <c r="BB127" s="145"/>
      <c r="BC127" s="145"/>
      <c r="BD127" s="145"/>
    </row>
    <row r="128" spans="1:56" ht="18.75" customHeight="1" x14ac:dyDescent="0.55000000000000004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6"/>
      <c r="AU128" s="146"/>
      <c r="AV128" s="145"/>
      <c r="AW128" s="145"/>
      <c r="AX128" s="145"/>
      <c r="AY128" s="145"/>
      <c r="AZ128" s="145"/>
      <c r="BA128" s="145"/>
      <c r="BB128" s="145"/>
      <c r="BC128" s="145"/>
      <c r="BD128" s="145"/>
    </row>
    <row r="129" spans="1:56" ht="18.75" customHeight="1" x14ac:dyDescent="0.55000000000000004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  <c r="AO129" s="145"/>
      <c r="AP129" s="145"/>
      <c r="AQ129" s="145"/>
      <c r="AR129" s="145"/>
      <c r="AS129" s="145"/>
      <c r="AT129" s="146"/>
      <c r="AU129" s="146"/>
      <c r="AV129" s="145"/>
      <c r="AW129" s="145"/>
      <c r="AX129" s="145"/>
      <c r="AY129" s="145"/>
      <c r="AZ129" s="145"/>
      <c r="BA129" s="145"/>
      <c r="BB129" s="145"/>
      <c r="BC129" s="145"/>
      <c r="BD129" s="145"/>
    </row>
    <row r="130" spans="1:56" ht="18.75" customHeight="1" x14ac:dyDescent="0.55000000000000004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  <c r="AP130" s="145"/>
      <c r="AQ130" s="145"/>
      <c r="AR130" s="145"/>
      <c r="AS130" s="145"/>
      <c r="AT130" s="146"/>
      <c r="AU130" s="146"/>
      <c r="AV130" s="145"/>
      <c r="AW130" s="145"/>
      <c r="AX130" s="145"/>
      <c r="AY130" s="145"/>
      <c r="AZ130" s="145"/>
      <c r="BA130" s="145"/>
      <c r="BB130" s="145"/>
      <c r="BC130" s="145"/>
      <c r="BD130" s="145"/>
    </row>
    <row r="131" spans="1:56" ht="18.75" customHeight="1" x14ac:dyDescent="0.55000000000000004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5"/>
      <c r="AR131" s="145"/>
      <c r="AS131" s="145"/>
      <c r="AT131" s="146"/>
      <c r="AU131" s="146"/>
      <c r="AV131" s="145"/>
      <c r="AW131" s="145"/>
      <c r="AX131" s="145"/>
      <c r="AY131" s="145"/>
      <c r="AZ131" s="145"/>
      <c r="BA131" s="145"/>
      <c r="BB131" s="145"/>
      <c r="BC131" s="145"/>
      <c r="BD131" s="145"/>
    </row>
    <row r="132" spans="1:56" ht="18.75" customHeight="1" x14ac:dyDescent="0.55000000000000004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6"/>
      <c r="AU132" s="146"/>
      <c r="AV132" s="145"/>
      <c r="AW132" s="145"/>
      <c r="AX132" s="145"/>
      <c r="AY132" s="145"/>
      <c r="AZ132" s="145"/>
      <c r="BA132" s="145"/>
      <c r="BB132" s="145"/>
      <c r="BC132" s="145"/>
      <c r="BD132" s="145"/>
    </row>
    <row r="133" spans="1:56" ht="18.75" customHeight="1" x14ac:dyDescent="0.55000000000000004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6"/>
      <c r="AU133" s="146"/>
      <c r="AV133" s="145"/>
      <c r="AW133" s="145"/>
      <c r="AX133" s="145"/>
      <c r="AY133" s="145"/>
      <c r="AZ133" s="145"/>
      <c r="BA133" s="145"/>
      <c r="BB133" s="145"/>
      <c r="BC133" s="145"/>
      <c r="BD133" s="145"/>
    </row>
    <row r="134" spans="1:56" ht="18.75" customHeight="1" x14ac:dyDescent="0.55000000000000004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  <c r="AQ134" s="145"/>
      <c r="AR134" s="145"/>
      <c r="AS134" s="145"/>
      <c r="AT134" s="146"/>
      <c r="AU134" s="146"/>
      <c r="AV134" s="145"/>
      <c r="AW134" s="145"/>
      <c r="AX134" s="145"/>
      <c r="AY134" s="145"/>
      <c r="AZ134" s="145"/>
      <c r="BA134" s="145"/>
      <c r="BB134" s="145"/>
      <c r="BC134" s="145"/>
      <c r="BD134" s="145"/>
    </row>
    <row r="135" spans="1:56" ht="18.75" customHeight="1" x14ac:dyDescent="0.55000000000000004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  <c r="AP135" s="145"/>
      <c r="AQ135" s="145"/>
      <c r="AR135" s="145"/>
      <c r="AS135" s="145"/>
      <c r="AT135" s="146"/>
      <c r="AU135" s="146"/>
      <c r="AV135" s="145"/>
      <c r="AW135" s="145"/>
      <c r="AX135" s="145"/>
      <c r="AY135" s="145"/>
      <c r="AZ135" s="145"/>
      <c r="BA135" s="145"/>
      <c r="BB135" s="145"/>
      <c r="BC135" s="145"/>
      <c r="BD135" s="145"/>
    </row>
    <row r="136" spans="1:56" ht="18.75" customHeight="1" x14ac:dyDescent="0.55000000000000004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  <c r="AP136" s="145"/>
      <c r="AQ136" s="145"/>
      <c r="AR136" s="145"/>
      <c r="AS136" s="145"/>
      <c r="AT136" s="146"/>
      <c r="AU136" s="146"/>
      <c r="AV136" s="145"/>
      <c r="AW136" s="145"/>
      <c r="AX136" s="145"/>
      <c r="AY136" s="145"/>
      <c r="AZ136" s="145"/>
      <c r="BA136" s="145"/>
      <c r="BB136" s="145"/>
      <c r="BC136" s="145"/>
      <c r="BD136" s="145"/>
    </row>
    <row r="137" spans="1:56" ht="18.75" customHeight="1" x14ac:dyDescent="0.55000000000000004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6"/>
      <c r="AU137" s="146"/>
      <c r="AV137" s="145"/>
      <c r="AW137" s="145"/>
      <c r="AX137" s="145"/>
      <c r="AY137" s="145"/>
      <c r="AZ137" s="145"/>
      <c r="BA137" s="145"/>
      <c r="BB137" s="145"/>
      <c r="BC137" s="145"/>
      <c r="BD137" s="145"/>
    </row>
    <row r="138" spans="1:56" ht="18.75" customHeight="1" x14ac:dyDescent="0.55000000000000004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6"/>
      <c r="AU138" s="146"/>
      <c r="AV138" s="145"/>
      <c r="AW138" s="145"/>
      <c r="AX138" s="145"/>
      <c r="AY138" s="145"/>
      <c r="AZ138" s="145"/>
      <c r="BA138" s="145"/>
      <c r="BB138" s="145"/>
      <c r="BC138" s="145"/>
      <c r="BD138" s="145"/>
    </row>
    <row r="139" spans="1:56" ht="18.75" customHeight="1" x14ac:dyDescent="0.55000000000000004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6"/>
      <c r="AU139" s="146"/>
      <c r="AV139" s="145"/>
      <c r="AW139" s="145"/>
      <c r="AX139" s="145"/>
      <c r="AY139" s="145"/>
      <c r="AZ139" s="145"/>
      <c r="BA139" s="145"/>
      <c r="BB139" s="145"/>
      <c r="BC139" s="145"/>
      <c r="BD139" s="145"/>
    </row>
    <row r="140" spans="1:56" ht="18.75" customHeight="1" x14ac:dyDescent="0.55000000000000004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45"/>
      <c r="AO140" s="145"/>
      <c r="AP140" s="145"/>
      <c r="AQ140" s="145"/>
      <c r="AR140" s="145"/>
      <c r="AS140" s="145"/>
      <c r="AT140" s="146"/>
      <c r="AU140" s="146"/>
      <c r="AV140" s="145"/>
      <c r="AW140" s="145"/>
      <c r="AX140" s="145"/>
      <c r="AY140" s="145"/>
      <c r="AZ140" s="145"/>
      <c r="BA140" s="145"/>
      <c r="BB140" s="145"/>
      <c r="BC140" s="145"/>
      <c r="BD140" s="145"/>
    </row>
    <row r="141" spans="1:56" ht="18.75" customHeight="1" x14ac:dyDescent="0.55000000000000004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6"/>
      <c r="AU141" s="146"/>
      <c r="AV141" s="145"/>
      <c r="AW141" s="145"/>
      <c r="AX141" s="145"/>
      <c r="AY141" s="145"/>
      <c r="AZ141" s="145"/>
      <c r="BA141" s="145"/>
      <c r="BB141" s="145"/>
      <c r="BC141" s="145"/>
      <c r="BD141" s="145"/>
    </row>
    <row r="142" spans="1:56" ht="18.75" customHeight="1" x14ac:dyDescent="0.55000000000000004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6"/>
      <c r="AU142" s="146"/>
      <c r="AV142" s="145"/>
      <c r="AW142" s="145"/>
      <c r="AX142" s="145"/>
      <c r="AY142" s="145"/>
      <c r="AZ142" s="145"/>
      <c r="BA142" s="145"/>
      <c r="BB142" s="145"/>
      <c r="BC142" s="145"/>
      <c r="BD142" s="145"/>
    </row>
    <row r="143" spans="1:56" ht="18.75" customHeight="1" x14ac:dyDescent="0.55000000000000004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  <c r="AP143" s="145"/>
      <c r="AQ143" s="145"/>
      <c r="AR143" s="145"/>
      <c r="AS143" s="145"/>
      <c r="AT143" s="146"/>
      <c r="AU143" s="146"/>
      <c r="AV143" s="145"/>
      <c r="AW143" s="145"/>
      <c r="AX143" s="145"/>
      <c r="AY143" s="145"/>
      <c r="AZ143" s="145"/>
      <c r="BA143" s="145"/>
      <c r="BB143" s="145"/>
      <c r="BC143" s="145"/>
      <c r="BD143" s="145"/>
    </row>
    <row r="144" spans="1:56" ht="18.75" customHeight="1" x14ac:dyDescent="0.55000000000000004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45"/>
      <c r="AO144" s="145"/>
      <c r="AP144" s="145"/>
      <c r="AQ144" s="145"/>
      <c r="AR144" s="145"/>
      <c r="AS144" s="145"/>
      <c r="AT144" s="146"/>
      <c r="AU144" s="146"/>
      <c r="AV144" s="145"/>
      <c r="AW144" s="145"/>
      <c r="AX144" s="145"/>
      <c r="AY144" s="145"/>
      <c r="AZ144" s="145"/>
      <c r="BA144" s="145"/>
      <c r="BB144" s="145"/>
      <c r="BC144" s="145"/>
      <c r="BD144" s="145"/>
    </row>
    <row r="145" spans="1:56" ht="18.75" customHeight="1" x14ac:dyDescent="0.55000000000000004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45"/>
      <c r="AO145" s="145"/>
      <c r="AP145" s="145"/>
      <c r="AQ145" s="145"/>
      <c r="AR145" s="145"/>
      <c r="AS145" s="145"/>
      <c r="AT145" s="146"/>
      <c r="AU145" s="146"/>
      <c r="AV145" s="145"/>
      <c r="AW145" s="145"/>
      <c r="AX145" s="145"/>
      <c r="AY145" s="145"/>
      <c r="AZ145" s="145"/>
      <c r="BA145" s="145"/>
      <c r="BB145" s="145"/>
      <c r="BC145" s="145"/>
      <c r="BD145" s="145"/>
    </row>
    <row r="146" spans="1:56" ht="18.75" customHeight="1" x14ac:dyDescent="0.55000000000000004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6"/>
      <c r="AU146" s="146"/>
      <c r="AV146" s="145"/>
      <c r="AW146" s="145"/>
      <c r="AX146" s="145"/>
      <c r="AY146" s="145"/>
      <c r="AZ146" s="145"/>
      <c r="BA146" s="145"/>
      <c r="BB146" s="145"/>
      <c r="BC146" s="145"/>
      <c r="BD146" s="145"/>
    </row>
    <row r="147" spans="1:56" ht="18.75" customHeight="1" x14ac:dyDescent="0.55000000000000004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6"/>
      <c r="AU147" s="146"/>
      <c r="AV147" s="145"/>
      <c r="AW147" s="145"/>
      <c r="AX147" s="145"/>
      <c r="AY147" s="145"/>
      <c r="AZ147" s="145"/>
      <c r="BA147" s="145"/>
      <c r="BB147" s="145"/>
      <c r="BC147" s="145"/>
      <c r="BD147" s="145"/>
    </row>
    <row r="148" spans="1:56" ht="18.75" customHeight="1" x14ac:dyDescent="0.55000000000000004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6"/>
      <c r="AU148" s="146"/>
      <c r="AV148" s="145"/>
      <c r="AW148" s="145"/>
      <c r="AX148" s="145"/>
      <c r="AY148" s="145"/>
      <c r="AZ148" s="145"/>
      <c r="BA148" s="145"/>
      <c r="BB148" s="145"/>
      <c r="BC148" s="145"/>
      <c r="BD148" s="145"/>
    </row>
    <row r="149" spans="1:56" ht="18.75" customHeight="1" x14ac:dyDescent="0.55000000000000004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5"/>
      <c r="AO149" s="145"/>
      <c r="AP149" s="145"/>
      <c r="AQ149" s="145"/>
      <c r="AR149" s="145"/>
      <c r="AS149" s="145"/>
      <c r="AT149" s="146"/>
      <c r="AU149" s="146"/>
      <c r="AV149" s="145"/>
      <c r="AW149" s="145"/>
      <c r="AX149" s="145"/>
      <c r="AY149" s="145"/>
      <c r="AZ149" s="145"/>
      <c r="BA149" s="145"/>
      <c r="BB149" s="145"/>
      <c r="BC149" s="145"/>
      <c r="BD149" s="145"/>
    </row>
    <row r="150" spans="1:56" ht="18.75" customHeight="1" x14ac:dyDescent="0.55000000000000004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5"/>
      <c r="AR150" s="145"/>
      <c r="AS150" s="145"/>
      <c r="AT150" s="146"/>
      <c r="AU150" s="146"/>
      <c r="AV150" s="145"/>
      <c r="AW150" s="145"/>
      <c r="AX150" s="145"/>
      <c r="AY150" s="145"/>
      <c r="AZ150" s="145"/>
      <c r="BA150" s="145"/>
      <c r="BB150" s="145"/>
      <c r="BC150" s="145"/>
      <c r="BD150" s="145"/>
    </row>
    <row r="151" spans="1:56" ht="18.75" customHeight="1" x14ac:dyDescent="0.55000000000000004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  <c r="AP151" s="145"/>
      <c r="AQ151" s="145"/>
      <c r="AR151" s="145"/>
      <c r="AS151" s="145"/>
      <c r="AT151" s="146"/>
      <c r="AU151" s="146"/>
      <c r="AV151" s="145"/>
      <c r="AW151" s="145"/>
      <c r="AX151" s="145"/>
      <c r="AY151" s="145"/>
      <c r="AZ151" s="145"/>
      <c r="BA151" s="145"/>
      <c r="BB151" s="145"/>
      <c r="BC151" s="145"/>
      <c r="BD151" s="145"/>
    </row>
    <row r="152" spans="1:56" ht="18.75" customHeight="1" x14ac:dyDescent="0.55000000000000004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5"/>
      <c r="AQ152" s="145"/>
      <c r="AR152" s="145"/>
      <c r="AS152" s="145"/>
      <c r="AT152" s="146"/>
      <c r="AU152" s="146"/>
      <c r="AV152" s="145"/>
      <c r="AW152" s="145"/>
      <c r="AX152" s="145"/>
      <c r="AY152" s="145"/>
      <c r="AZ152" s="145"/>
      <c r="BA152" s="145"/>
      <c r="BB152" s="145"/>
      <c r="BC152" s="145"/>
      <c r="BD152" s="145"/>
    </row>
    <row r="153" spans="1:56" ht="18.75" customHeight="1" x14ac:dyDescent="0.55000000000000004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5"/>
      <c r="AQ153" s="145"/>
      <c r="AR153" s="145"/>
      <c r="AS153" s="145"/>
      <c r="AT153" s="146"/>
      <c r="AU153" s="146"/>
      <c r="AV153" s="145"/>
      <c r="AW153" s="145"/>
      <c r="AX153" s="145"/>
      <c r="AY153" s="145"/>
      <c r="AZ153" s="145"/>
      <c r="BA153" s="145"/>
      <c r="BB153" s="145"/>
      <c r="BC153" s="145"/>
      <c r="BD153" s="145"/>
    </row>
    <row r="154" spans="1:56" ht="18.75" customHeight="1" x14ac:dyDescent="0.55000000000000004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5"/>
      <c r="AR154" s="145"/>
      <c r="AS154" s="145"/>
      <c r="AT154" s="146"/>
      <c r="AU154" s="146"/>
      <c r="AV154" s="145"/>
      <c r="AW154" s="145"/>
      <c r="AX154" s="145"/>
      <c r="AY154" s="145"/>
      <c r="AZ154" s="145"/>
      <c r="BA154" s="145"/>
      <c r="BB154" s="145"/>
      <c r="BC154" s="145"/>
      <c r="BD154" s="145"/>
    </row>
    <row r="155" spans="1:56" ht="18.75" customHeight="1" x14ac:dyDescent="0.55000000000000004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5"/>
      <c r="AQ155" s="145"/>
      <c r="AR155" s="145"/>
      <c r="AS155" s="145"/>
      <c r="AT155" s="146"/>
      <c r="AU155" s="146"/>
      <c r="AV155" s="145"/>
      <c r="AW155" s="145"/>
      <c r="AX155" s="145"/>
      <c r="AY155" s="145"/>
      <c r="AZ155" s="145"/>
      <c r="BA155" s="145"/>
      <c r="BB155" s="145"/>
      <c r="BC155" s="145"/>
      <c r="BD155" s="145"/>
    </row>
    <row r="156" spans="1:56" ht="18.75" customHeight="1" x14ac:dyDescent="0.55000000000000004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6"/>
      <c r="AU156" s="146"/>
      <c r="AV156" s="145"/>
      <c r="AW156" s="145"/>
      <c r="AX156" s="145"/>
      <c r="AY156" s="145"/>
      <c r="AZ156" s="145"/>
      <c r="BA156" s="145"/>
      <c r="BB156" s="145"/>
      <c r="BC156" s="145"/>
      <c r="BD156" s="145"/>
    </row>
    <row r="157" spans="1:56" ht="18.75" customHeight="1" x14ac:dyDescent="0.55000000000000004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6"/>
      <c r="AU157" s="146"/>
      <c r="AV157" s="145"/>
      <c r="AW157" s="145"/>
      <c r="AX157" s="145"/>
      <c r="AY157" s="145"/>
      <c r="AZ157" s="145"/>
      <c r="BA157" s="145"/>
      <c r="BB157" s="145"/>
      <c r="BC157" s="145"/>
      <c r="BD157" s="145"/>
    </row>
    <row r="158" spans="1:56" ht="18.75" customHeight="1" x14ac:dyDescent="0.55000000000000004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  <c r="AP158" s="145"/>
      <c r="AQ158" s="145"/>
      <c r="AR158" s="145"/>
      <c r="AS158" s="145"/>
      <c r="AT158" s="146"/>
      <c r="AU158" s="146"/>
      <c r="AV158" s="145"/>
      <c r="AW158" s="145"/>
      <c r="AX158" s="145"/>
      <c r="AY158" s="145"/>
      <c r="AZ158" s="145"/>
      <c r="BA158" s="145"/>
      <c r="BB158" s="145"/>
      <c r="BC158" s="145"/>
      <c r="BD158" s="145"/>
    </row>
    <row r="159" spans="1:56" ht="18.75" customHeight="1" x14ac:dyDescent="0.55000000000000004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45"/>
      <c r="AQ159" s="145"/>
      <c r="AR159" s="145"/>
      <c r="AS159" s="145"/>
      <c r="AT159" s="146"/>
      <c r="AU159" s="146"/>
      <c r="AV159" s="145"/>
      <c r="AW159" s="145"/>
      <c r="AX159" s="145"/>
      <c r="AY159" s="145"/>
      <c r="AZ159" s="145"/>
      <c r="BA159" s="145"/>
      <c r="BB159" s="145"/>
      <c r="BC159" s="145"/>
      <c r="BD159" s="145"/>
    </row>
    <row r="160" spans="1:56" ht="18.75" customHeight="1" x14ac:dyDescent="0.55000000000000004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  <c r="AP160" s="145"/>
      <c r="AQ160" s="145"/>
      <c r="AR160" s="145"/>
      <c r="AS160" s="145"/>
      <c r="AT160" s="146"/>
      <c r="AU160" s="146"/>
      <c r="AV160" s="145"/>
      <c r="AW160" s="145"/>
      <c r="AX160" s="145"/>
      <c r="AY160" s="145"/>
      <c r="AZ160" s="145"/>
      <c r="BA160" s="145"/>
      <c r="BB160" s="145"/>
      <c r="BC160" s="145"/>
      <c r="BD160" s="145"/>
    </row>
    <row r="161" spans="1:56" ht="18.75" customHeight="1" x14ac:dyDescent="0.55000000000000004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  <c r="AL161" s="145"/>
      <c r="AM161" s="145"/>
      <c r="AN161" s="145"/>
      <c r="AO161" s="145"/>
      <c r="AP161" s="145"/>
      <c r="AQ161" s="145"/>
      <c r="AR161" s="145"/>
      <c r="AS161" s="145"/>
      <c r="AT161" s="146"/>
      <c r="AU161" s="146"/>
      <c r="AV161" s="145"/>
      <c r="AW161" s="145"/>
      <c r="AX161" s="145"/>
      <c r="AY161" s="145"/>
      <c r="AZ161" s="145"/>
      <c r="BA161" s="145"/>
      <c r="BB161" s="145"/>
      <c r="BC161" s="145"/>
      <c r="BD161" s="145"/>
    </row>
    <row r="162" spans="1:56" ht="18.75" customHeight="1" x14ac:dyDescent="0.55000000000000004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  <c r="AP162" s="145"/>
      <c r="AQ162" s="145"/>
      <c r="AR162" s="145"/>
      <c r="AS162" s="145"/>
      <c r="AT162" s="146"/>
      <c r="AU162" s="146"/>
      <c r="AV162" s="145"/>
      <c r="AW162" s="145"/>
      <c r="AX162" s="145"/>
      <c r="AY162" s="145"/>
      <c r="AZ162" s="145"/>
      <c r="BA162" s="145"/>
      <c r="BB162" s="145"/>
      <c r="BC162" s="145"/>
      <c r="BD162" s="145"/>
    </row>
    <row r="163" spans="1:56" ht="18.75" customHeight="1" x14ac:dyDescent="0.55000000000000004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  <c r="AL163" s="145"/>
      <c r="AM163" s="145"/>
      <c r="AN163" s="145"/>
      <c r="AO163" s="145"/>
      <c r="AP163" s="145"/>
      <c r="AQ163" s="145"/>
      <c r="AR163" s="145"/>
      <c r="AS163" s="145"/>
      <c r="AT163" s="146"/>
      <c r="AU163" s="146"/>
      <c r="AV163" s="145"/>
      <c r="AW163" s="145"/>
      <c r="AX163" s="145"/>
      <c r="AY163" s="145"/>
      <c r="AZ163" s="145"/>
      <c r="BA163" s="145"/>
      <c r="BB163" s="145"/>
      <c r="BC163" s="145"/>
      <c r="BD163" s="145"/>
    </row>
    <row r="164" spans="1:56" ht="18.75" customHeight="1" x14ac:dyDescent="0.55000000000000004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  <c r="AL164" s="145"/>
      <c r="AM164" s="145"/>
      <c r="AN164" s="145"/>
      <c r="AO164" s="145"/>
      <c r="AP164" s="145"/>
      <c r="AQ164" s="145"/>
      <c r="AR164" s="145"/>
      <c r="AS164" s="145"/>
      <c r="AT164" s="146"/>
      <c r="AU164" s="146"/>
      <c r="AV164" s="145"/>
      <c r="AW164" s="145"/>
      <c r="AX164" s="145"/>
      <c r="AY164" s="145"/>
      <c r="AZ164" s="145"/>
      <c r="BA164" s="145"/>
      <c r="BB164" s="145"/>
      <c r="BC164" s="145"/>
      <c r="BD164" s="145"/>
    </row>
    <row r="165" spans="1:56" ht="18.75" customHeight="1" x14ac:dyDescent="0.55000000000000004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45"/>
      <c r="AQ165" s="145"/>
      <c r="AR165" s="145"/>
      <c r="AS165" s="145"/>
      <c r="AT165" s="146"/>
      <c r="AU165" s="146"/>
      <c r="AV165" s="145"/>
      <c r="AW165" s="145"/>
      <c r="AX165" s="145"/>
      <c r="AY165" s="145"/>
      <c r="AZ165" s="145"/>
      <c r="BA165" s="145"/>
      <c r="BB165" s="145"/>
      <c r="BC165" s="145"/>
      <c r="BD165" s="145"/>
    </row>
    <row r="166" spans="1:56" ht="18.75" customHeight="1" x14ac:dyDescent="0.55000000000000004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  <c r="AP166" s="145"/>
      <c r="AQ166" s="145"/>
      <c r="AR166" s="145"/>
      <c r="AS166" s="145"/>
      <c r="AT166" s="146"/>
      <c r="AU166" s="146"/>
      <c r="AV166" s="145"/>
      <c r="AW166" s="145"/>
      <c r="AX166" s="145"/>
      <c r="AY166" s="145"/>
      <c r="AZ166" s="145"/>
      <c r="BA166" s="145"/>
      <c r="BB166" s="145"/>
      <c r="BC166" s="145"/>
      <c r="BD166" s="145"/>
    </row>
    <row r="167" spans="1:56" ht="18.75" customHeight="1" x14ac:dyDescent="0.55000000000000004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45"/>
      <c r="AQ167" s="145"/>
      <c r="AR167" s="145"/>
      <c r="AS167" s="145"/>
      <c r="AT167" s="146"/>
      <c r="AU167" s="146"/>
      <c r="AV167" s="145"/>
      <c r="AW167" s="145"/>
      <c r="AX167" s="145"/>
      <c r="AY167" s="145"/>
      <c r="AZ167" s="145"/>
      <c r="BA167" s="145"/>
      <c r="BB167" s="145"/>
      <c r="BC167" s="145"/>
      <c r="BD167" s="145"/>
    </row>
    <row r="168" spans="1:56" ht="18.75" customHeight="1" x14ac:dyDescent="0.55000000000000004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  <c r="AP168" s="145"/>
      <c r="AQ168" s="145"/>
      <c r="AR168" s="145"/>
      <c r="AS168" s="145"/>
      <c r="AT168" s="146"/>
      <c r="AU168" s="146"/>
      <c r="AV168" s="145"/>
      <c r="AW168" s="145"/>
      <c r="AX168" s="145"/>
      <c r="AY168" s="145"/>
      <c r="AZ168" s="145"/>
      <c r="BA168" s="145"/>
      <c r="BB168" s="145"/>
      <c r="BC168" s="145"/>
      <c r="BD168" s="145"/>
    </row>
    <row r="169" spans="1:56" ht="18.75" customHeight="1" x14ac:dyDescent="0.55000000000000004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  <c r="AP169" s="145"/>
      <c r="AQ169" s="145"/>
      <c r="AR169" s="145"/>
      <c r="AS169" s="145"/>
      <c r="AT169" s="146"/>
      <c r="AU169" s="146"/>
      <c r="AV169" s="145"/>
      <c r="AW169" s="145"/>
      <c r="AX169" s="145"/>
      <c r="AY169" s="145"/>
      <c r="AZ169" s="145"/>
      <c r="BA169" s="145"/>
      <c r="BB169" s="145"/>
      <c r="BC169" s="145"/>
      <c r="BD169" s="145"/>
    </row>
    <row r="170" spans="1:56" ht="18.75" customHeight="1" x14ac:dyDescent="0.55000000000000004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45"/>
      <c r="AQ170" s="145"/>
      <c r="AR170" s="145"/>
      <c r="AS170" s="145"/>
      <c r="AT170" s="146"/>
      <c r="AU170" s="146"/>
      <c r="AV170" s="145"/>
      <c r="AW170" s="145"/>
      <c r="AX170" s="145"/>
      <c r="AY170" s="145"/>
      <c r="AZ170" s="145"/>
      <c r="BA170" s="145"/>
      <c r="BB170" s="145"/>
      <c r="BC170" s="145"/>
      <c r="BD170" s="145"/>
    </row>
    <row r="171" spans="1:56" ht="18.75" customHeight="1" x14ac:dyDescent="0.55000000000000004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  <c r="AQ171" s="145"/>
      <c r="AR171" s="145"/>
      <c r="AS171" s="145"/>
      <c r="AT171" s="146"/>
      <c r="AU171" s="146"/>
      <c r="AV171" s="145"/>
      <c r="AW171" s="145"/>
      <c r="AX171" s="145"/>
      <c r="AY171" s="145"/>
      <c r="AZ171" s="145"/>
      <c r="BA171" s="145"/>
      <c r="BB171" s="145"/>
      <c r="BC171" s="145"/>
      <c r="BD171" s="145"/>
    </row>
    <row r="172" spans="1:56" ht="18.75" customHeight="1" x14ac:dyDescent="0.55000000000000004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6"/>
      <c r="AU172" s="146"/>
      <c r="AV172" s="145"/>
      <c r="AW172" s="145"/>
      <c r="AX172" s="145"/>
      <c r="AY172" s="145"/>
      <c r="AZ172" s="145"/>
      <c r="BA172" s="145"/>
      <c r="BB172" s="145"/>
      <c r="BC172" s="145"/>
      <c r="BD172" s="145"/>
    </row>
    <row r="173" spans="1:56" ht="18.75" customHeight="1" x14ac:dyDescent="0.55000000000000004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6"/>
      <c r="AU173" s="146"/>
      <c r="AV173" s="145"/>
      <c r="AW173" s="145"/>
      <c r="AX173" s="145"/>
      <c r="AY173" s="145"/>
      <c r="AZ173" s="145"/>
      <c r="BA173" s="145"/>
      <c r="BB173" s="145"/>
      <c r="BC173" s="145"/>
      <c r="BD173" s="145"/>
    </row>
    <row r="174" spans="1:56" ht="18.75" customHeight="1" x14ac:dyDescent="0.55000000000000004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6"/>
      <c r="AU174" s="146"/>
      <c r="AV174" s="145"/>
      <c r="AW174" s="145"/>
      <c r="AX174" s="145"/>
      <c r="AY174" s="145"/>
      <c r="AZ174" s="145"/>
      <c r="BA174" s="145"/>
      <c r="BB174" s="145"/>
      <c r="BC174" s="145"/>
      <c r="BD174" s="145"/>
    </row>
    <row r="175" spans="1:56" ht="18.75" customHeight="1" x14ac:dyDescent="0.55000000000000004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45"/>
      <c r="AQ175" s="145"/>
      <c r="AR175" s="145"/>
      <c r="AS175" s="145"/>
      <c r="AT175" s="146"/>
      <c r="AU175" s="146"/>
      <c r="AV175" s="145"/>
      <c r="AW175" s="145"/>
      <c r="AX175" s="145"/>
      <c r="AY175" s="145"/>
      <c r="AZ175" s="145"/>
      <c r="BA175" s="145"/>
      <c r="BB175" s="145"/>
      <c r="BC175" s="145"/>
      <c r="BD175" s="145"/>
    </row>
    <row r="176" spans="1:56" ht="18.75" customHeight="1" x14ac:dyDescent="0.55000000000000004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6"/>
      <c r="AU176" s="146"/>
      <c r="AV176" s="145"/>
      <c r="AW176" s="145"/>
      <c r="AX176" s="145"/>
      <c r="AY176" s="145"/>
      <c r="AZ176" s="145"/>
      <c r="BA176" s="145"/>
      <c r="BB176" s="145"/>
      <c r="BC176" s="145"/>
      <c r="BD176" s="145"/>
    </row>
    <row r="177" spans="1:56" ht="18.75" customHeight="1" x14ac:dyDescent="0.55000000000000004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6"/>
      <c r="AU177" s="146"/>
      <c r="AV177" s="145"/>
      <c r="AW177" s="145"/>
      <c r="AX177" s="145"/>
      <c r="AY177" s="145"/>
      <c r="AZ177" s="145"/>
      <c r="BA177" s="145"/>
      <c r="BB177" s="145"/>
      <c r="BC177" s="145"/>
      <c r="BD177" s="145"/>
    </row>
    <row r="178" spans="1:56" ht="18.75" customHeight="1" x14ac:dyDescent="0.55000000000000004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  <c r="AP178" s="145"/>
      <c r="AQ178" s="145"/>
      <c r="AR178" s="145"/>
      <c r="AS178" s="145"/>
      <c r="AT178" s="146"/>
      <c r="AU178" s="146"/>
      <c r="AV178" s="145"/>
      <c r="AW178" s="145"/>
      <c r="AX178" s="145"/>
      <c r="AY178" s="145"/>
      <c r="AZ178" s="145"/>
      <c r="BA178" s="145"/>
      <c r="BB178" s="145"/>
      <c r="BC178" s="145"/>
      <c r="BD178" s="145"/>
    </row>
    <row r="179" spans="1:56" ht="18.75" customHeight="1" x14ac:dyDescent="0.55000000000000004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6"/>
      <c r="AU179" s="146"/>
      <c r="AV179" s="145"/>
      <c r="AW179" s="145"/>
      <c r="AX179" s="145"/>
      <c r="AY179" s="145"/>
      <c r="AZ179" s="145"/>
      <c r="BA179" s="145"/>
      <c r="BB179" s="145"/>
      <c r="BC179" s="145"/>
      <c r="BD179" s="145"/>
    </row>
    <row r="180" spans="1:56" ht="18.75" customHeight="1" x14ac:dyDescent="0.55000000000000004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  <c r="AP180" s="145"/>
      <c r="AQ180" s="145"/>
      <c r="AR180" s="145"/>
      <c r="AS180" s="145"/>
      <c r="AT180" s="146"/>
      <c r="AU180" s="146"/>
      <c r="AV180" s="145"/>
      <c r="AW180" s="145"/>
      <c r="AX180" s="145"/>
      <c r="AY180" s="145"/>
      <c r="AZ180" s="145"/>
      <c r="BA180" s="145"/>
      <c r="BB180" s="145"/>
      <c r="BC180" s="145"/>
      <c r="BD180" s="145"/>
    </row>
    <row r="181" spans="1:56" ht="18.75" customHeight="1" x14ac:dyDescent="0.55000000000000004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6"/>
      <c r="AU181" s="146"/>
      <c r="AV181" s="145"/>
      <c r="AW181" s="145"/>
      <c r="AX181" s="145"/>
      <c r="AY181" s="145"/>
      <c r="AZ181" s="145"/>
      <c r="BA181" s="145"/>
      <c r="BB181" s="145"/>
      <c r="BC181" s="145"/>
      <c r="BD181" s="145"/>
    </row>
    <row r="182" spans="1:56" ht="18.75" customHeight="1" x14ac:dyDescent="0.55000000000000004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  <c r="AP182" s="145"/>
      <c r="AQ182" s="145"/>
      <c r="AR182" s="145"/>
      <c r="AS182" s="145"/>
      <c r="AT182" s="146"/>
      <c r="AU182" s="146"/>
      <c r="AV182" s="145"/>
      <c r="AW182" s="145"/>
      <c r="AX182" s="145"/>
      <c r="AY182" s="145"/>
      <c r="AZ182" s="145"/>
      <c r="BA182" s="145"/>
      <c r="BB182" s="145"/>
      <c r="BC182" s="145"/>
      <c r="BD182" s="145"/>
    </row>
    <row r="183" spans="1:56" ht="18.75" customHeight="1" x14ac:dyDescent="0.55000000000000004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  <c r="AP183" s="145"/>
      <c r="AQ183" s="145"/>
      <c r="AR183" s="145"/>
      <c r="AS183" s="145"/>
      <c r="AT183" s="146"/>
      <c r="AU183" s="146"/>
      <c r="AV183" s="145"/>
      <c r="AW183" s="145"/>
      <c r="AX183" s="145"/>
      <c r="AY183" s="145"/>
      <c r="AZ183" s="145"/>
      <c r="BA183" s="145"/>
      <c r="BB183" s="145"/>
      <c r="BC183" s="145"/>
      <c r="BD183" s="145"/>
    </row>
    <row r="184" spans="1:56" ht="18.75" customHeight="1" x14ac:dyDescent="0.55000000000000004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  <c r="AE184" s="145"/>
      <c r="AF184" s="145"/>
      <c r="AG184" s="145"/>
      <c r="AH184" s="145"/>
      <c r="AI184" s="145"/>
      <c r="AJ184" s="145"/>
      <c r="AK184" s="145"/>
      <c r="AL184" s="145"/>
      <c r="AM184" s="145"/>
      <c r="AN184" s="145"/>
      <c r="AO184" s="145"/>
      <c r="AP184" s="145"/>
      <c r="AQ184" s="145"/>
      <c r="AR184" s="145"/>
      <c r="AS184" s="145"/>
      <c r="AT184" s="146"/>
      <c r="AU184" s="146"/>
      <c r="AV184" s="145"/>
      <c r="AW184" s="145"/>
      <c r="AX184" s="145"/>
      <c r="AY184" s="145"/>
      <c r="AZ184" s="145"/>
      <c r="BA184" s="145"/>
      <c r="BB184" s="145"/>
      <c r="BC184" s="145"/>
      <c r="BD184" s="145"/>
    </row>
    <row r="185" spans="1:56" ht="18.75" customHeight="1" x14ac:dyDescent="0.55000000000000004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  <c r="AJ185" s="145"/>
      <c r="AK185" s="145"/>
      <c r="AL185" s="145"/>
      <c r="AM185" s="145"/>
      <c r="AN185" s="145"/>
      <c r="AO185" s="145"/>
      <c r="AP185" s="145"/>
      <c r="AQ185" s="145"/>
      <c r="AR185" s="145"/>
      <c r="AS185" s="145"/>
      <c r="AT185" s="146"/>
      <c r="AU185" s="146"/>
      <c r="AV185" s="145"/>
      <c r="AW185" s="145"/>
      <c r="AX185" s="145"/>
      <c r="AY185" s="145"/>
      <c r="AZ185" s="145"/>
      <c r="BA185" s="145"/>
      <c r="BB185" s="145"/>
      <c r="BC185" s="145"/>
      <c r="BD185" s="145"/>
    </row>
    <row r="186" spans="1:56" ht="18.75" customHeight="1" x14ac:dyDescent="0.55000000000000004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  <c r="AP186" s="145"/>
      <c r="AQ186" s="145"/>
      <c r="AR186" s="145"/>
      <c r="AS186" s="145"/>
      <c r="AT186" s="146"/>
      <c r="AU186" s="146"/>
      <c r="AV186" s="145"/>
      <c r="AW186" s="145"/>
      <c r="AX186" s="145"/>
      <c r="AY186" s="145"/>
      <c r="AZ186" s="145"/>
      <c r="BA186" s="145"/>
      <c r="BB186" s="145"/>
      <c r="BC186" s="145"/>
      <c r="BD186" s="145"/>
    </row>
    <row r="187" spans="1:56" ht="18.75" customHeight="1" x14ac:dyDescent="0.55000000000000004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45"/>
      <c r="AQ187" s="145"/>
      <c r="AR187" s="145"/>
      <c r="AS187" s="145"/>
      <c r="AT187" s="146"/>
      <c r="AU187" s="146"/>
      <c r="AV187" s="145"/>
      <c r="AW187" s="145"/>
      <c r="AX187" s="145"/>
      <c r="AY187" s="145"/>
      <c r="AZ187" s="145"/>
      <c r="BA187" s="145"/>
      <c r="BB187" s="145"/>
      <c r="BC187" s="145"/>
      <c r="BD187" s="145"/>
    </row>
    <row r="188" spans="1:56" ht="18.75" customHeight="1" x14ac:dyDescent="0.55000000000000004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  <c r="AP188" s="145"/>
      <c r="AQ188" s="145"/>
      <c r="AR188" s="145"/>
      <c r="AS188" s="145"/>
      <c r="AT188" s="146"/>
      <c r="AU188" s="146"/>
      <c r="AV188" s="145"/>
      <c r="AW188" s="145"/>
      <c r="AX188" s="145"/>
      <c r="AY188" s="145"/>
      <c r="AZ188" s="145"/>
      <c r="BA188" s="145"/>
      <c r="BB188" s="145"/>
      <c r="BC188" s="145"/>
      <c r="BD188" s="145"/>
    </row>
    <row r="189" spans="1:56" ht="18.75" customHeight="1" x14ac:dyDescent="0.55000000000000004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  <c r="AE189" s="145"/>
      <c r="AF189" s="145"/>
      <c r="AG189" s="145"/>
      <c r="AH189" s="145"/>
      <c r="AI189" s="145"/>
      <c r="AJ189" s="145"/>
      <c r="AK189" s="145"/>
      <c r="AL189" s="145"/>
      <c r="AM189" s="145"/>
      <c r="AN189" s="145"/>
      <c r="AO189" s="145"/>
      <c r="AP189" s="145"/>
      <c r="AQ189" s="145"/>
      <c r="AR189" s="145"/>
      <c r="AS189" s="145"/>
      <c r="AT189" s="146"/>
      <c r="AU189" s="146"/>
      <c r="AV189" s="145"/>
      <c r="AW189" s="145"/>
      <c r="AX189" s="145"/>
      <c r="AY189" s="145"/>
      <c r="AZ189" s="145"/>
      <c r="BA189" s="145"/>
      <c r="BB189" s="145"/>
      <c r="BC189" s="145"/>
      <c r="BD189" s="145"/>
    </row>
    <row r="190" spans="1:56" ht="18.75" customHeight="1" x14ac:dyDescent="0.55000000000000004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5"/>
      <c r="AL190" s="145"/>
      <c r="AM190" s="145"/>
      <c r="AN190" s="145"/>
      <c r="AO190" s="145"/>
      <c r="AP190" s="145"/>
      <c r="AQ190" s="145"/>
      <c r="AR190" s="145"/>
      <c r="AS190" s="145"/>
      <c r="AT190" s="146"/>
      <c r="AU190" s="146"/>
      <c r="AV190" s="145"/>
      <c r="AW190" s="145"/>
      <c r="AX190" s="145"/>
      <c r="AY190" s="145"/>
      <c r="AZ190" s="145"/>
      <c r="BA190" s="145"/>
      <c r="BB190" s="145"/>
      <c r="BC190" s="145"/>
      <c r="BD190" s="145"/>
    </row>
    <row r="191" spans="1:56" ht="18.75" customHeight="1" x14ac:dyDescent="0.55000000000000004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  <c r="AN191" s="145"/>
      <c r="AO191" s="145"/>
      <c r="AP191" s="145"/>
      <c r="AQ191" s="145"/>
      <c r="AR191" s="145"/>
      <c r="AS191" s="145"/>
      <c r="AT191" s="146"/>
      <c r="AU191" s="146"/>
      <c r="AV191" s="145"/>
      <c r="AW191" s="145"/>
      <c r="AX191" s="145"/>
      <c r="AY191" s="145"/>
      <c r="AZ191" s="145"/>
      <c r="BA191" s="145"/>
      <c r="BB191" s="145"/>
      <c r="BC191" s="145"/>
      <c r="BD191" s="145"/>
    </row>
    <row r="192" spans="1:56" ht="18.75" customHeight="1" x14ac:dyDescent="0.55000000000000004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  <c r="AE192" s="145"/>
      <c r="AF192" s="145"/>
      <c r="AG192" s="145"/>
      <c r="AH192" s="145"/>
      <c r="AI192" s="145"/>
      <c r="AJ192" s="145"/>
      <c r="AK192" s="145"/>
      <c r="AL192" s="145"/>
      <c r="AM192" s="145"/>
      <c r="AN192" s="145"/>
      <c r="AO192" s="145"/>
      <c r="AP192" s="145"/>
      <c r="AQ192" s="145"/>
      <c r="AR192" s="145"/>
      <c r="AS192" s="145"/>
      <c r="AT192" s="146"/>
      <c r="AU192" s="146"/>
      <c r="AV192" s="145"/>
      <c r="AW192" s="145"/>
      <c r="AX192" s="145"/>
      <c r="AY192" s="145"/>
      <c r="AZ192" s="145"/>
      <c r="BA192" s="145"/>
      <c r="BB192" s="145"/>
      <c r="BC192" s="145"/>
      <c r="BD192" s="145"/>
    </row>
    <row r="193" spans="1:56" ht="18.75" customHeight="1" x14ac:dyDescent="0.55000000000000004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  <c r="AE193" s="145"/>
      <c r="AF193" s="145"/>
      <c r="AG193" s="145"/>
      <c r="AH193" s="145"/>
      <c r="AI193" s="145"/>
      <c r="AJ193" s="145"/>
      <c r="AK193" s="145"/>
      <c r="AL193" s="145"/>
      <c r="AM193" s="145"/>
      <c r="AN193" s="145"/>
      <c r="AO193" s="145"/>
      <c r="AP193" s="145"/>
      <c r="AQ193" s="145"/>
      <c r="AR193" s="145"/>
      <c r="AS193" s="145"/>
      <c r="AT193" s="146"/>
      <c r="AU193" s="146"/>
      <c r="AV193" s="145"/>
      <c r="AW193" s="145"/>
      <c r="AX193" s="145"/>
      <c r="AY193" s="145"/>
      <c r="AZ193" s="145"/>
      <c r="BA193" s="145"/>
      <c r="BB193" s="145"/>
      <c r="BC193" s="145"/>
      <c r="BD193" s="145"/>
    </row>
    <row r="194" spans="1:56" ht="18.75" customHeight="1" x14ac:dyDescent="0.55000000000000004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5"/>
      <c r="AL194" s="145"/>
      <c r="AM194" s="145"/>
      <c r="AN194" s="145"/>
      <c r="AO194" s="145"/>
      <c r="AP194" s="145"/>
      <c r="AQ194" s="145"/>
      <c r="AR194" s="145"/>
      <c r="AS194" s="145"/>
      <c r="AT194" s="146"/>
      <c r="AU194" s="146"/>
      <c r="AV194" s="145"/>
      <c r="AW194" s="145"/>
      <c r="AX194" s="145"/>
      <c r="AY194" s="145"/>
      <c r="AZ194" s="145"/>
      <c r="BA194" s="145"/>
      <c r="BB194" s="145"/>
      <c r="BC194" s="145"/>
      <c r="BD194" s="145"/>
    </row>
    <row r="195" spans="1:56" ht="18.75" customHeight="1" x14ac:dyDescent="0.55000000000000004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  <c r="AP195" s="145"/>
      <c r="AQ195" s="145"/>
      <c r="AR195" s="145"/>
      <c r="AS195" s="145"/>
      <c r="AT195" s="146"/>
      <c r="AU195" s="146"/>
      <c r="AV195" s="145"/>
      <c r="AW195" s="145"/>
      <c r="AX195" s="145"/>
      <c r="AY195" s="145"/>
      <c r="AZ195" s="145"/>
      <c r="BA195" s="145"/>
      <c r="BB195" s="145"/>
      <c r="BC195" s="145"/>
      <c r="BD195" s="145"/>
    </row>
    <row r="196" spans="1:56" ht="18.75" customHeight="1" x14ac:dyDescent="0.55000000000000004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  <c r="AE196" s="145"/>
      <c r="AF196" s="145"/>
      <c r="AG196" s="145"/>
      <c r="AH196" s="145"/>
      <c r="AI196" s="145"/>
      <c r="AJ196" s="145"/>
      <c r="AK196" s="145"/>
      <c r="AL196" s="145"/>
      <c r="AM196" s="145"/>
      <c r="AN196" s="145"/>
      <c r="AO196" s="145"/>
      <c r="AP196" s="145"/>
      <c r="AQ196" s="145"/>
      <c r="AR196" s="145"/>
      <c r="AS196" s="145"/>
      <c r="AT196" s="146"/>
      <c r="AU196" s="146"/>
      <c r="AV196" s="145"/>
      <c r="AW196" s="145"/>
      <c r="AX196" s="145"/>
      <c r="AY196" s="145"/>
      <c r="AZ196" s="145"/>
      <c r="BA196" s="145"/>
      <c r="BB196" s="145"/>
      <c r="BC196" s="145"/>
      <c r="BD196" s="145"/>
    </row>
    <row r="197" spans="1:56" ht="18.75" customHeight="1" x14ac:dyDescent="0.55000000000000004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  <c r="AE197" s="145"/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  <c r="AP197" s="145"/>
      <c r="AQ197" s="145"/>
      <c r="AR197" s="145"/>
      <c r="AS197" s="145"/>
      <c r="AT197" s="146"/>
      <c r="AU197" s="146"/>
      <c r="AV197" s="145"/>
      <c r="AW197" s="145"/>
      <c r="AX197" s="145"/>
      <c r="AY197" s="145"/>
      <c r="AZ197" s="145"/>
      <c r="BA197" s="145"/>
      <c r="BB197" s="145"/>
      <c r="BC197" s="145"/>
      <c r="BD197" s="145"/>
    </row>
    <row r="198" spans="1:56" ht="18.75" customHeight="1" x14ac:dyDescent="0.55000000000000004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  <c r="AP198" s="145"/>
      <c r="AQ198" s="145"/>
      <c r="AR198" s="145"/>
      <c r="AS198" s="145"/>
      <c r="AT198" s="146"/>
      <c r="AU198" s="146"/>
      <c r="AV198" s="145"/>
      <c r="AW198" s="145"/>
      <c r="AX198" s="145"/>
      <c r="AY198" s="145"/>
      <c r="AZ198" s="145"/>
      <c r="BA198" s="145"/>
      <c r="BB198" s="145"/>
      <c r="BC198" s="145"/>
      <c r="BD198" s="145"/>
    </row>
    <row r="199" spans="1:56" ht="18.75" customHeight="1" x14ac:dyDescent="0.55000000000000004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  <c r="AE199" s="145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145"/>
      <c r="AP199" s="145"/>
      <c r="AQ199" s="145"/>
      <c r="AR199" s="145"/>
      <c r="AS199" s="145"/>
      <c r="AT199" s="146"/>
      <c r="AU199" s="146"/>
      <c r="AV199" s="145"/>
      <c r="AW199" s="145"/>
      <c r="AX199" s="145"/>
      <c r="AY199" s="145"/>
      <c r="AZ199" s="145"/>
      <c r="BA199" s="145"/>
      <c r="BB199" s="145"/>
      <c r="BC199" s="145"/>
      <c r="BD199" s="145"/>
    </row>
    <row r="200" spans="1:56" ht="18.75" customHeight="1" x14ac:dyDescent="0.55000000000000004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  <c r="AP200" s="145"/>
      <c r="AQ200" s="145"/>
      <c r="AR200" s="145"/>
      <c r="AS200" s="145"/>
      <c r="AT200" s="146"/>
      <c r="AU200" s="146"/>
      <c r="AV200" s="145"/>
      <c r="AW200" s="145"/>
      <c r="AX200" s="145"/>
      <c r="AY200" s="145"/>
      <c r="AZ200" s="145"/>
      <c r="BA200" s="145"/>
      <c r="BB200" s="145"/>
      <c r="BC200" s="145"/>
      <c r="BD200" s="145"/>
    </row>
    <row r="201" spans="1:56" ht="18.75" customHeight="1" x14ac:dyDescent="0.55000000000000004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  <c r="AP201" s="145"/>
      <c r="AQ201" s="145"/>
      <c r="AR201" s="145"/>
      <c r="AS201" s="145"/>
      <c r="AT201" s="146"/>
      <c r="AU201" s="146"/>
      <c r="AV201" s="145"/>
      <c r="AW201" s="145"/>
      <c r="AX201" s="145"/>
      <c r="AY201" s="145"/>
      <c r="AZ201" s="145"/>
      <c r="BA201" s="145"/>
      <c r="BB201" s="145"/>
      <c r="BC201" s="145"/>
      <c r="BD201" s="145"/>
    </row>
    <row r="202" spans="1:56" ht="18.75" customHeight="1" x14ac:dyDescent="0.55000000000000004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  <c r="AE202" s="145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145"/>
      <c r="AP202" s="145"/>
      <c r="AQ202" s="145"/>
      <c r="AR202" s="145"/>
      <c r="AS202" s="145"/>
      <c r="AT202" s="146"/>
      <c r="AU202" s="146"/>
      <c r="AV202" s="145"/>
      <c r="AW202" s="145"/>
      <c r="AX202" s="145"/>
      <c r="AY202" s="145"/>
      <c r="AZ202" s="145"/>
      <c r="BA202" s="145"/>
      <c r="BB202" s="145"/>
      <c r="BC202" s="145"/>
      <c r="BD202" s="145"/>
    </row>
    <row r="203" spans="1:56" ht="18.75" customHeight="1" x14ac:dyDescent="0.55000000000000004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  <c r="AE203" s="145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145"/>
      <c r="AP203" s="145"/>
      <c r="AQ203" s="145"/>
      <c r="AR203" s="145"/>
      <c r="AS203" s="145"/>
      <c r="AT203" s="146"/>
      <c r="AU203" s="146"/>
      <c r="AV203" s="145"/>
      <c r="AW203" s="145"/>
      <c r="AX203" s="145"/>
      <c r="AY203" s="145"/>
      <c r="AZ203" s="145"/>
      <c r="BA203" s="145"/>
      <c r="BB203" s="145"/>
      <c r="BC203" s="145"/>
      <c r="BD203" s="145"/>
    </row>
    <row r="204" spans="1:56" ht="18.75" customHeight="1" x14ac:dyDescent="0.55000000000000004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  <c r="AP204" s="145"/>
      <c r="AQ204" s="145"/>
      <c r="AR204" s="145"/>
      <c r="AS204" s="145"/>
      <c r="AT204" s="146"/>
      <c r="AU204" s="146"/>
      <c r="AV204" s="145"/>
      <c r="AW204" s="145"/>
      <c r="AX204" s="145"/>
      <c r="AY204" s="145"/>
      <c r="AZ204" s="145"/>
      <c r="BA204" s="145"/>
      <c r="BB204" s="145"/>
      <c r="BC204" s="145"/>
      <c r="BD204" s="145"/>
    </row>
    <row r="205" spans="1:56" ht="18.75" customHeight="1" x14ac:dyDescent="0.55000000000000004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  <c r="AP205" s="145"/>
      <c r="AQ205" s="145"/>
      <c r="AR205" s="145"/>
      <c r="AS205" s="145"/>
      <c r="AT205" s="146"/>
      <c r="AU205" s="146"/>
      <c r="AV205" s="145"/>
      <c r="AW205" s="145"/>
      <c r="AX205" s="145"/>
      <c r="AY205" s="145"/>
      <c r="AZ205" s="145"/>
      <c r="BA205" s="145"/>
      <c r="BB205" s="145"/>
      <c r="BC205" s="145"/>
      <c r="BD205" s="145"/>
    </row>
    <row r="206" spans="1:56" ht="18.75" customHeight="1" x14ac:dyDescent="0.55000000000000004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  <c r="AP206" s="145"/>
      <c r="AQ206" s="145"/>
      <c r="AR206" s="145"/>
      <c r="AS206" s="145"/>
      <c r="AT206" s="146"/>
      <c r="AU206" s="146"/>
      <c r="AV206" s="145"/>
      <c r="AW206" s="145"/>
      <c r="AX206" s="145"/>
      <c r="AY206" s="145"/>
      <c r="AZ206" s="145"/>
      <c r="BA206" s="145"/>
      <c r="BB206" s="145"/>
      <c r="BC206" s="145"/>
      <c r="BD206" s="145"/>
    </row>
    <row r="207" spans="1:56" ht="18.75" customHeight="1" x14ac:dyDescent="0.55000000000000004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  <c r="AP207" s="145"/>
      <c r="AQ207" s="145"/>
      <c r="AR207" s="145"/>
      <c r="AS207" s="145"/>
      <c r="AT207" s="146"/>
      <c r="AU207" s="146"/>
      <c r="AV207" s="145"/>
      <c r="AW207" s="145"/>
      <c r="AX207" s="145"/>
      <c r="AY207" s="145"/>
      <c r="AZ207" s="145"/>
      <c r="BA207" s="145"/>
      <c r="BB207" s="145"/>
      <c r="BC207" s="145"/>
      <c r="BD207" s="145"/>
    </row>
    <row r="208" spans="1:56" ht="18.75" customHeight="1" x14ac:dyDescent="0.55000000000000004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  <c r="AP208" s="145"/>
      <c r="AQ208" s="145"/>
      <c r="AR208" s="145"/>
      <c r="AS208" s="145"/>
      <c r="AT208" s="146"/>
      <c r="AU208" s="146"/>
      <c r="AV208" s="145"/>
      <c r="AW208" s="145"/>
      <c r="AX208" s="145"/>
      <c r="AY208" s="145"/>
      <c r="AZ208" s="145"/>
      <c r="BA208" s="145"/>
      <c r="BB208" s="145"/>
      <c r="BC208" s="145"/>
      <c r="BD208" s="145"/>
    </row>
    <row r="209" spans="1:56" ht="18.75" customHeight="1" x14ac:dyDescent="0.55000000000000004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6"/>
      <c r="AU209" s="146"/>
      <c r="AV209" s="145"/>
      <c r="AW209" s="145"/>
      <c r="AX209" s="145"/>
      <c r="AY209" s="145"/>
      <c r="AZ209" s="145"/>
      <c r="BA209" s="145"/>
      <c r="BB209" s="145"/>
      <c r="BC209" s="145"/>
      <c r="BD209" s="145"/>
    </row>
    <row r="210" spans="1:56" ht="18.75" customHeight="1" x14ac:dyDescent="0.55000000000000004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  <c r="AE210" s="145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145"/>
      <c r="AP210" s="145"/>
      <c r="AQ210" s="145"/>
      <c r="AR210" s="145"/>
      <c r="AS210" s="145"/>
      <c r="AT210" s="146"/>
      <c r="AU210" s="146"/>
      <c r="AV210" s="145"/>
      <c r="AW210" s="145"/>
      <c r="AX210" s="145"/>
      <c r="AY210" s="145"/>
      <c r="AZ210" s="145"/>
      <c r="BA210" s="145"/>
      <c r="BB210" s="145"/>
      <c r="BC210" s="145"/>
      <c r="BD210" s="145"/>
    </row>
    <row r="211" spans="1:56" ht="18.75" customHeight="1" x14ac:dyDescent="0.55000000000000004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  <c r="AP211" s="145"/>
      <c r="AQ211" s="145"/>
      <c r="AR211" s="145"/>
      <c r="AS211" s="145"/>
      <c r="AT211" s="146"/>
      <c r="AU211" s="146"/>
      <c r="AV211" s="145"/>
      <c r="AW211" s="145"/>
      <c r="AX211" s="145"/>
      <c r="AY211" s="145"/>
      <c r="AZ211" s="145"/>
      <c r="BA211" s="145"/>
      <c r="BB211" s="145"/>
      <c r="BC211" s="145"/>
      <c r="BD211" s="145"/>
    </row>
    <row r="212" spans="1:56" ht="18.75" customHeight="1" x14ac:dyDescent="0.55000000000000004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  <c r="AP212" s="145"/>
      <c r="AQ212" s="145"/>
      <c r="AR212" s="145"/>
      <c r="AS212" s="145"/>
      <c r="AT212" s="146"/>
      <c r="AU212" s="146"/>
      <c r="AV212" s="145"/>
      <c r="AW212" s="145"/>
      <c r="AX212" s="145"/>
      <c r="AY212" s="145"/>
      <c r="AZ212" s="145"/>
      <c r="BA212" s="145"/>
      <c r="BB212" s="145"/>
      <c r="BC212" s="145"/>
      <c r="BD212" s="145"/>
    </row>
    <row r="213" spans="1:56" ht="18.75" customHeight="1" x14ac:dyDescent="0.55000000000000004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  <c r="AP213" s="145"/>
      <c r="AQ213" s="145"/>
      <c r="AR213" s="145"/>
      <c r="AS213" s="145"/>
      <c r="AT213" s="146"/>
      <c r="AU213" s="146"/>
      <c r="AV213" s="145"/>
      <c r="AW213" s="145"/>
      <c r="AX213" s="145"/>
      <c r="AY213" s="145"/>
      <c r="AZ213" s="145"/>
      <c r="BA213" s="145"/>
      <c r="BB213" s="145"/>
      <c r="BC213" s="145"/>
      <c r="BD213" s="145"/>
    </row>
    <row r="214" spans="1:56" ht="18.75" customHeight="1" x14ac:dyDescent="0.55000000000000004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  <c r="AE214" s="145"/>
      <c r="AF214" s="145"/>
      <c r="AG214" s="145"/>
      <c r="AH214" s="145"/>
      <c r="AI214" s="145"/>
      <c r="AJ214" s="145"/>
      <c r="AK214" s="145"/>
      <c r="AL214" s="145"/>
      <c r="AM214" s="145"/>
      <c r="AN214" s="145"/>
      <c r="AO214" s="145"/>
      <c r="AP214" s="145"/>
      <c r="AQ214" s="145"/>
      <c r="AR214" s="145"/>
      <c r="AS214" s="145"/>
      <c r="AT214" s="146"/>
      <c r="AU214" s="146"/>
      <c r="AV214" s="145"/>
      <c r="AW214" s="145"/>
      <c r="AX214" s="145"/>
      <c r="AY214" s="145"/>
      <c r="AZ214" s="145"/>
      <c r="BA214" s="145"/>
      <c r="BB214" s="145"/>
      <c r="BC214" s="145"/>
      <c r="BD214" s="145"/>
    </row>
    <row r="215" spans="1:56" ht="18.75" customHeight="1" x14ac:dyDescent="0.55000000000000004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  <c r="AP215" s="145"/>
      <c r="AQ215" s="145"/>
      <c r="AR215" s="145"/>
      <c r="AS215" s="145"/>
      <c r="AT215" s="146"/>
      <c r="AU215" s="146"/>
      <c r="AV215" s="145"/>
      <c r="AW215" s="145"/>
      <c r="AX215" s="145"/>
      <c r="AY215" s="145"/>
      <c r="AZ215" s="145"/>
      <c r="BA215" s="145"/>
      <c r="BB215" s="145"/>
      <c r="BC215" s="145"/>
      <c r="BD215" s="145"/>
    </row>
    <row r="216" spans="1:56" ht="18.75" customHeight="1" x14ac:dyDescent="0.55000000000000004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  <c r="AP216" s="145"/>
      <c r="AQ216" s="145"/>
      <c r="AR216" s="145"/>
      <c r="AS216" s="145"/>
      <c r="AT216" s="146"/>
      <c r="AU216" s="146"/>
      <c r="AV216" s="145"/>
      <c r="AW216" s="145"/>
      <c r="AX216" s="145"/>
      <c r="AY216" s="145"/>
      <c r="AZ216" s="145"/>
      <c r="BA216" s="145"/>
      <c r="BB216" s="145"/>
      <c r="BC216" s="145"/>
      <c r="BD216" s="145"/>
    </row>
    <row r="217" spans="1:56" ht="18.75" customHeight="1" x14ac:dyDescent="0.55000000000000004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  <c r="AN217" s="145"/>
      <c r="AO217" s="145"/>
      <c r="AP217" s="145"/>
      <c r="AQ217" s="145"/>
      <c r="AR217" s="145"/>
      <c r="AS217" s="145"/>
      <c r="AT217" s="146"/>
      <c r="AU217" s="146"/>
      <c r="AV217" s="145"/>
      <c r="AW217" s="145"/>
      <c r="AX217" s="145"/>
      <c r="AY217" s="145"/>
      <c r="AZ217" s="145"/>
      <c r="BA217" s="145"/>
      <c r="BB217" s="145"/>
      <c r="BC217" s="145"/>
      <c r="BD217" s="145"/>
    </row>
    <row r="218" spans="1:56" ht="18.75" customHeight="1" x14ac:dyDescent="0.55000000000000004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  <c r="AP218" s="145"/>
      <c r="AQ218" s="145"/>
      <c r="AR218" s="145"/>
      <c r="AS218" s="145"/>
      <c r="AT218" s="146"/>
      <c r="AU218" s="146"/>
      <c r="AV218" s="145"/>
      <c r="AW218" s="145"/>
      <c r="AX218" s="145"/>
      <c r="AY218" s="145"/>
      <c r="AZ218" s="145"/>
      <c r="BA218" s="145"/>
      <c r="BB218" s="145"/>
      <c r="BC218" s="145"/>
      <c r="BD218" s="145"/>
    </row>
    <row r="219" spans="1:56" ht="18.75" customHeight="1" x14ac:dyDescent="0.55000000000000004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  <c r="AN219" s="145"/>
      <c r="AO219" s="145"/>
      <c r="AP219" s="145"/>
      <c r="AQ219" s="145"/>
      <c r="AR219" s="145"/>
      <c r="AS219" s="145"/>
      <c r="AT219" s="146"/>
      <c r="AU219" s="146"/>
      <c r="AV219" s="145"/>
      <c r="AW219" s="145"/>
      <c r="AX219" s="145"/>
      <c r="AY219" s="145"/>
      <c r="AZ219" s="145"/>
      <c r="BA219" s="145"/>
      <c r="BB219" s="145"/>
      <c r="BC219" s="145"/>
      <c r="BD219" s="145"/>
    </row>
    <row r="220" spans="1:56" ht="18.75" customHeight="1" x14ac:dyDescent="0.55000000000000004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  <c r="AP220" s="145"/>
      <c r="AQ220" s="145"/>
      <c r="AR220" s="145"/>
      <c r="AS220" s="145"/>
      <c r="AT220" s="146"/>
      <c r="AU220" s="146"/>
      <c r="AV220" s="145"/>
      <c r="AW220" s="145"/>
      <c r="AX220" s="145"/>
      <c r="AY220" s="145"/>
      <c r="AZ220" s="145"/>
      <c r="BA220" s="145"/>
      <c r="BB220" s="145"/>
      <c r="BC220" s="145"/>
      <c r="BD220" s="145"/>
    </row>
    <row r="221" spans="1:56" ht="18.75" customHeight="1" x14ac:dyDescent="0.55000000000000004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45"/>
      <c r="AN221" s="145"/>
      <c r="AO221" s="145"/>
      <c r="AP221" s="145"/>
      <c r="AQ221" s="145"/>
      <c r="AR221" s="145"/>
      <c r="AS221" s="145"/>
      <c r="AT221" s="146"/>
      <c r="AU221" s="146"/>
      <c r="AV221" s="145"/>
      <c r="AW221" s="145"/>
      <c r="AX221" s="145"/>
      <c r="AY221" s="145"/>
      <c r="AZ221" s="145"/>
      <c r="BA221" s="145"/>
      <c r="BB221" s="145"/>
      <c r="BC221" s="145"/>
      <c r="BD221" s="145"/>
    </row>
    <row r="222" spans="1:56" ht="18.75" customHeight="1" x14ac:dyDescent="0.55000000000000004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  <c r="AP222" s="145"/>
      <c r="AQ222" s="145"/>
      <c r="AR222" s="145"/>
      <c r="AS222" s="145"/>
      <c r="AT222" s="146"/>
      <c r="AU222" s="146"/>
      <c r="AV222" s="145"/>
      <c r="AW222" s="145"/>
      <c r="AX222" s="145"/>
      <c r="AY222" s="145"/>
      <c r="AZ222" s="145"/>
      <c r="BA222" s="145"/>
      <c r="BB222" s="145"/>
      <c r="BC222" s="145"/>
      <c r="BD222" s="145"/>
    </row>
    <row r="223" spans="1:56" ht="18.75" customHeight="1" x14ac:dyDescent="0.55000000000000004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  <c r="AE223" s="145"/>
      <c r="AF223" s="145"/>
      <c r="AG223" s="145"/>
      <c r="AH223" s="145"/>
      <c r="AI223" s="145"/>
      <c r="AJ223" s="145"/>
      <c r="AK223" s="145"/>
      <c r="AL223" s="145"/>
      <c r="AM223" s="145"/>
      <c r="AN223" s="145"/>
      <c r="AO223" s="145"/>
      <c r="AP223" s="145"/>
      <c r="AQ223" s="145"/>
      <c r="AR223" s="145"/>
      <c r="AS223" s="145"/>
      <c r="AT223" s="146"/>
      <c r="AU223" s="146"/>
      <c r="AV223" s="145"/>
      <c r="AW223" s="145"/>
      <c r="AX223" s="145"/>
      <c r="AY223" s="145"/>
      <c r="AZ223" s="145"/>
      <c r="BA223" s="145"/>
      <c r="BB223" s="145"/>
      <c r="BC223" s="145"/>
      <c r="BD223" s="145"/>
    </row>
    <row r="224" spans="1:56" ht="18.75" customHeight="1" x14ac:dyDescent="0.55000000000000004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  <c r="AE224" s="145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145"/>
      <c r="AP224" s="145"/>
      <c r="AQ224" s="145"/>
      <c r="AR224" s="145"/>
      <c r="AS224" s="145"/>
      <c r="AT224" s="146"/>
      <c r="AU224" s="146"/>
      <c r="AV224" s="145"/>
      <c r="AW224" s="145"/>
      <c r="AX224" s="145"/>
      <c r="AY224" s="145"/>
      <c r="AZ224" s="145"/>
      <c r="BA224" s="145"/>
      <c r="BB224" s="145"/>
      <c r="BC224" s="145"/>
      <c r="BD224" s="145"/>
    </row>
    <row r="225" spans="1:56" ht="18.75" customHeight="1" x14ac:dyDescent="0.55000000000000004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145"/>
      <c r="AP225" s="145"/>
      <c r="AQ225" s="145"/>
      <c r="AR225" s="145"/>
      <c r="AS225" s="145"/>
      <c r="AT225" s="146"/>
      <c r="AU225" s="146"/>
      <c r="AV225" s="145"/>
      <c r="AW225" s="145"/>
      <c r="AX225" s="145"/>
      <c r="AY225" s="145"/>
      <c r="AZ225" s="145"/>
      <c r="BA225" s="145"/>
      <c r="BB225" s="145"/>
      <c r="BC225" s="145"/>
      <c r="BD225" s="145"/>
    </row>
    <row r="226" spans="1:56" ht="18.75" customHeight="1" x14ac:dyDescent="0.55000000000000004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  <c r="AP226" s="145"/>
      <c r="AQ226" s="145"/>
      <c r="AR226" s="145"/>
      <c r="AS226" s="145"/>
      <c r="AT226" s="146"/>
      <c r="AU226" s="146"/>
      <c r="AV226" s="145"/>
      <c r="AW226" s="145"/>
      <c r="AX226" s="145"/>
      <c r="AY226" s="145"/>
      <c r="AZ226" s="145"/>
      <c r="BA226" s="145"/>
      <c r="BB226" s="145"/>
      <c r="BC226" s="145"/>
      <c r="BD226" s="145"/>
    </row>
    <row r="227" spans="1:56" ht="18.75" customHeight="1" x14ac:dyDescent="0.55000000000000004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45"/>
      <c r="AQ227" s="145"/>
      <c r="AR227" s="145"/>
      <c r="AS227" s="145"/>
      <c r="AT227" s="146"/>
      <c r="AU227" s="146"/>
      <c r="AV227" s="145"/>
      <c r="AW227" s="145"/>
      <c r="AX227" s="145"/>
      <c r="AY227" s="145"/>
      <c r="AZ227" s="145"/>
      <c r="BA227" s="145"/>
      <c r="BB227" s="145"/>
      <c r="BC227" s="145"/>
      <c r="BD227" s="145"/>
    </row>
    <row r="228" spans="1:56" ht="18.75" customHeight="1" x14ac:dyDescent="0.55000000000000004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  <c r="AE228" s="145"/>
      <c r="AF228" s="145"/>
      <c r="AG228" s="145"/>
      <c r="AH228" s="145"/>
      <c r="AI228" s="145"/>
      <c r="AJ228" s="145"/>
      <c r="AK228" s="145"/>
      <c r="AL228" s="145"/>
      <c r="AM228" s="145"/>
      <c r="AN228" s="145"/>
      <c r="AO228" s="145"/>
      <c r="AP228" s="145"/>
      <c r="AQ228" s="145"/>
      <c r="AR228" s="145"/>
      <c r="AS228" s="145"/>
      <c r="AT228" s="146"/>
      <c r="AU228" s="146"/>
      <c r="AV228" s="145"/>
      <c r="AW228" s="145"/>
      <c r="AX228" s="145"/>
      <c r="AY228" s="145"/>
      <c r="AZ228" s="145"/>
      <c r="BA228" s="145"/>
      <c r="BB228" s="145"/>
      <c r="BC228" s="145"/>
      <c r="BD228" s="145"/>
    </row>
    <row r="229" spans="1:56" ht="18.75" customHeight="1" x14ac:dyDescent="0.55000000000000004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  <c r="AE229" s="145"/>
      <c r="AF229" s="145"/>
      <c r="AG229" s="145"/>
      <c r="AH229" s="145"/>
      <c r="AI229" s="145"/>
      <c r="AJ229" s="145"/>
      <c r="AK229" s="145"/>
      <c r="AL229" s="145"/>
      <c r="AM229" s="145"/>
      <c r="AN229" s="145"/>
      <c r="AO229" s="145"/>
      <c r="AP229" s="145"/>
      <c r="AQ229" s="145"/>
      <c r="AR229" s="145"/>
      <c r="AS229" s="145"/>
      <c r="AT229" s="146"/>
      <c r="AU229" s="146"/>
      <c r="AV229" s="145"/>
      <c r="AW229" s="145"/>
      <c r="AX229" s="145"/>
      <c r="AY229" s="145"/>
      <c r="AZ229" s="145"/>
      <c r="BA229" s="145"/>
      <c r="BB229" s="145"/>
      <c r="BC229" s="145"/>
      <c r="BD229" s="145"/>
    </row>
    <row r="230" spans="1:56" ht="18.75" customHeight="1" x14ac:dyDescent="0.55000000000000004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  <c r="AP230" s="145"/>
      <c r="AQ230" s="145"/>
      <c r="AR230" s="145"/>
      <c r="AS230" s="145"/>
      <c r="AT230" s="146"/>
      <c r="AU230" s="146"/>
      <c r="AV230" s="145"/>
      <c r="AW230" s="145"/>
      <c r="AX230" s="145"/>
      <c r="AY230" s="145"/>
      <c r="AZ230" s="145"/>
      <c r="BA230" s="145"/>
      <c r="BB230" s="145"/>
      <c r="BC230" s="145"/>
      <c r="BD230" s="145"/>
    </row>
    <row r="231" spans="1:56" ht="18.75" customHeight="1" x14ac:dyDescent="0.55000000000000004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  <c r="AE231" s="145"/>
      <c r="AF231" s="145"/>
      <c r="AG231" s="145"/>
      <c r="AH231" s="145"/>
      <c r="AI231" s="145"/>
      <c r="AJ231" s="145"/>
      <c r="AK231" s="145"/>
      <c r="AL231" s="145"/>
      <c r="AM231" s="145"/>
      <c r="AN231" s="145"/>
      <c r="AO231" s="145"/>
      <c r="AP231" s="145"/>
      <c r="AQ231" s="145"/>
      <c r="AR231" s="145"/>
      <c r="AS231" s="145"/>
      <c r="AT231" s="146"/>
      <c r="AU231" s="146"/>
      <c r="AV231" s="145"/>
      <c r="AW231" s="145"/>
      <c r="AX231" s="145"/>
      <c r="AY231" s="145"/>
      <c r="AZ231" s="145"/>
      <c r="BA231" s="145"/>
      <c r="BB231" s="145"/>
      <c r="BC231" s="145"/>
      <c r="BD231" s="145"/>
    </row>
    <row r="232" spans="1:56" ht="18.75" customHeight="1" x14ac:dyDescent="0.55000000000000004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  <c r="AP232" s="145"/>
      <c r="AQ232" s="145"/>
      <c r="AR232" s="145"/>
      <c r="AS232" s="145"/>
      <c r="AT232" s="146"/>
      <c r="AU232" s="146"/>
      <c r="AV232" s="145"/>
      <c r="AW232" s="145"/>
      <c r="AX232" s="145"/>
      <c r="AY232" s="145"/>
      <c r="AZ232" s="145"/>
      <c r="BA232" s="145"/>
      <c r="BB232" s="145"/>
      <c r="BC232" s="145"/>
      <c r="BD232" s="145"/>
    </row>
    <row r="233" spans="1:56" ht="18.75" customHeight="1" x14ac:dyDescent="0.55000000000000004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45"/>
      <c r="AQ233" s="145"/>
      <c r="AR233" s="145"/>
      <c r="AS233" s="145"/>
      <c r="AT233" s="146"/>
      <c r="AU233" s="146"/>
      <c r="AV233" s="145"/>
      <c r="AW233" s="145"/>
      <c r="AX233" s="145"/>
      <c r="AY233" s="145"/>
      <c r="AZ233" s="145"/>
      <c r="BA233" s="145"/>
      <c r="BB233" s="145"/>
      <c r="BC233" s="145"/>
      <c r="BD233" s="145"/>
    </row>
    <row r="234" spans="1:56" ht="18.75" customHeight="1" x14ac:dyDescent="0.55000000000000004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  <c r="AP234" s="145"/>
      <c r="AQ234" s="145"/>
      <c r="AR234" s="145"/>
      <c r="AS234" s="145"/>
      <c r="AT234" s="146"/>
      <c r="AU234" s="146"/>
      <c r="AV234" s="145"/>
      <c r="AW234" s="145"/>
      <c r="AX234" s="145"/>
      <c r="AY234" s="145"/>
      <c r="AZ234" s="145"/>
      <c r="BA234" s="145"/>
      <c r="BB234" s="145"/>
      <c r="BC234" s="145"/>
      <c r="BD234" s="145"/>
    </row>
    <row r="235" spans="1:56" ht="18.75" customHeight="1" x14ac:dyDescent="0.55000000000000004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5"/>
      <c r="AL235" s="145"/>
      <c r="AM235" s="145"/>
      <c r="AN235" s="145"/>
      <c r="AO235" s="145"/>
      <c r="AP235" s="145"/>
      <c r="AQ235" s="145"/>
      <c r="AR235" s="145"/>
      <c r="AS235" s="145"/>
      <c r="AT235" s="146"/>
      <c r="AU235" s="146"/>
      <c r="AV235" s="145"/>
      <c r="AW235" s="145"/>
      <c r="AX235" s="145"/>
      <c r="AY235" s="145"/>
      <c r="AZ235" s="145"/>
      <c r="BA235" s="145"/>
      <c r="BB235" s="145"/>
      <c r="BC235" s="145"/>
      <c r="BD235" s="145"/>
    </row>
    <row r="236" spans="1:56" ht="18.75" customHeight="1" x14ac:dyDescent="0.55000000000000004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5"/>
      <c r="AH236" s="145"/>
      <c r="AI236" s="145"/>
      <c r="AJ236" s="145"/>
      <c r="AK236" s="145"/>
      <c r="AL236" s="145"/>
      <c r="AM236" s="145"/>
      <c r="AN236" s="145"/>
      <c r="AO236" s="145"/>
      <c r="AP236" s="145"/>
      <c r="AQ236" s="145"/>
      <c r="AR236" s="145"/>
      <c r="AS236" s="145"/>
      <c r="AT236" s="146"/>
      <c r="AU236" s="146"/>
      <c r="AV236" s="145"/>
      <c r="AW236" s="145"/>
      <c r="AX236" s="145"/>
      <c r="AY236" s="145"/>
      <c r="AZ236" s="145"/>
      <c r="BA236" s="145"/>
      <c r="BB236" s="145"/>
      <c r="BC236" s="145"/>
      <c r="BD236" s="145"/>
    </row>
    <row r="237" spans="1:56" ht="18.75" customHeight="1" x14ac:dyDescent="0.55000000000000004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5"/>
      <c r="AQ237" s="145"/>
      <c r="AR237" s="145"/>
      <c r="AS237" s="145"/>
      <c r="AT237" s="146"/>
      <c r="AU237" s="146"/>
      <c r="AV237" s="145"/>
      <c r="AW237" s="145"/>
      <c r="AX237" s="145"/>
      <c r="AY237" s="145"/>
      <c r="AZ237" s="145"/>
      <c r="BA237" s="145"/>
      <c r="BB237" s="145"/>
      <c r="BC237" s="145"/>
      <c r="BD237" s="145"/>
    </row>
    <row r="238" spans="1:56" ht="18.75" customHeight="1" x14ac:dyDescent="0.55000000000000004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/>
      <c r="AF238" s="145"/>
      <c r="AG238" s="145"/>
      <c r="AH238" s="145"/>
      <c r="AI238" s="145"/>
      <c r="AJ238" s="145"/>
      <c r="AK238" s="145"/>
      <c r="AL238" s="145"/>
      <c r="AM238" s="145"/>
      <c r="AN238" s="145"/>
      <c r="AO238" s="145"/>
      <c r="AP238" s="145"/>
      <c r="AQ238" s="145"/>
      <c r="AR238" s="145"/>
      <c r="AS238" s="145"/>
      <c r="AT238" s="146"/>
      <c r="AU238" s="146"/>
      <c r="AV238" s="145"/>
      <c r="AW238" s="145"/>
      <c r="AX238" s="145"/>
      <c r="AY238" s="145"/>
      <c r="AZ238" s="145"/>
      <c r="BA238" s="145"/>
      <c r="BB238" s="145"/>
      <c r="BC238" s="145"/>
      <c r="BD238" s="145"/>
    </row>
    <row r="239" spans="1:56" ht="18.75" customHeight="1" x14ac:dyDescent="0.55000000000000004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  <c r="AE239" s="145"/>
      <c r="AF239" s="145"/>
      <c r="AG239" s="145"/>
      <c r="AH239" s="145"/>
      <c r="AI239" s="145"/>
      <c r="AJ239" s="145"/>
      <c r="AK239" s="145"/>
      <c r="AL239" s="145"/>
      <c r="AM239" s="145"/>
      <c r="AN239" s="145"/>
      <c r="AO239" s="145"/>
      <c r="AP239" s="145"/>
      <c r="AQ239" s="145"/>
      <c r="AR239" s="145"/>
      <c r="AS239" s="145"/>
      <c r="AT239" s="146"/>
      <c r="AU239" s="146"/>
      <c r="AV239" s="145"/>
      <c r="AW239" s="145"/>
      <c r="AX239" s="145"/>
      <c r="AY239" s="145"/>
      <c r="AZ239" s="145"/>
      <c r="BA239" s="145"/>
      <c r="BB239" s="145"/>
      <c r="BC239" s="145"/>
      <c r="BD239" s="145"/>
    </row>
    <row r="240" spans="1:56" ht="18.75" customHeight="1" x14ac:dyDescent="0.55000000000000004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  <c r="AE240" s="145"/>
      <c r="AF240" s="145"/>
      <c r="AG240" s="145"/>
      <c r="AH240" s="145"/>
      <c r="AI240" s="145"/>
      <c r="AJ240" s="145"/>
      <c r="AK240" s="145"/>
      <c r="AL240" s="145"/>
      <c r="AM240" s="145"/>
      <c r="AN240" s="145"/>
      <c r="AO240" s="145"/>
      <c r="AP240" s="145"/>
      <c r="AQ240" s="145"/>
      <c r="AR240" s="145"/>
      <c r="AS240" s="145"/>
      <c r="AT240" s="146"/>
      <c r="AU240" s="146"/>
      <c r="AV240" s="145"/>
      <c r="AW240" s="145"/>
      <c r="AX240" s="145"/>
      <c r="AY240" s="145"/>
      <c r="AZ240" s="145"/>
      <c r="BA240" s="145"/>
      <c r="BB240" s="145"/>
      <c r="BC240" s="145"/>
      <c r="BD240" s="145"/>
    </row>
    <row r="241" spans="1:56" ht="18.75" customHeight="1" x14ac:dyDescent="0.55000000000000004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  <c r="AN241" s="145"/>
      <c r="AO241" s="145"/>
      <c r="AP241" s="145"/>
      <c r="AQ241" s="145"/>
      <c r="AR241" s="145"/>
      <c r="AS241" s="145"/>
      <c r="AT241" s="146"/>
      <c r="AU241" s="146"/>
      <c r="AV241" s="145"/>
      <c r="AW241" s="145"/>
      <c r="AX241" s="145"/>
      <c r="AY241" s="145"/>
      <c r="AZ241" s="145"/>
      <c r="BA241" s="145"/>
      <c r="BB241" s="145"/>
      <c r="BC241" s="145"/>
      <c r="BD241" s="145"/>
    </row>
    <row r="242" spans="1:56" ht="18.75" customHeight="1" x14ac:dyDescent="0.55000000000000004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  <c r="AP242" s="145"/>
      <c r="AQ242" s="145"/>
      <c r="AR242" s="145"/>
      <c r="AS242" s="145"/>
      <c r="AT242" s="146"/>
      <c r="AU242" s="146"/>
      <c r="AV242" s="145"/>
      <c r="AW242" s="145"/>
      <c r="AX242" s="145"/>
      <c r="AY242" s="145"/>
      <c r="AZ242" s="145"/>
      <c r="BA242" s="145"/>
      <c r="BB242" s="145"/>
      <c r="BC242" s="145"/>
      <c r="BD242" s="145"/>
    </row>
    <row r="243" spans="1:56" ht="18.75" customHeight="1" x14ac:dyDescent="0.55000000000000004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  <c r="AE243" s="145"/>
      <c r="AF243" s="145"/>
      <c r="AG243" s="145"/>
      <c r="AH243" s="145"/>
      <c r="AI243" s="145"/>
      <c r="AJ243" s="145"/>
      <c r="AK243" s="145"/>
      <c r="AL243" s="145"/>
      <c r="AM243" s="145"/>
      <c r="AN243" s="145"/>
      <c r="AO243" s="145"/>
      <c r="AP243" s="145"/>
      <c r="AQ243" s="145"/>
      <c r="AR243" s="145"/>
      <c r="AS243" s="145"/>
      <c r="AT243" s="146"/>
      <c r="AU243" s="146"/>
      <c r="AV243" s="145"/>
      <c r="AW243" s="145"/>
      <c r="AX243" s="145"/>
      <c r="AY243" s="145"/>
      <c r="AZ243" s="145"/>
      <c r="BA243" s="145"/>
      <c r="BB243" s="145"/>
      <c r="BC243" s="145"/>
      <c r="BD243" s="145"/>
    </row>
    <row r="244" spans="1:56" ht="18.75" customHeight="1" x14ac:dyDescent="0.55000000000000004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  <c r="AE244" s="145"/>
      <c r="AF244" s="145"/>
      <c r="AG244" s="145"/>
      <c r="AH244" s="145"/>
      <c r="AI244" s="145"/>
      <c r="AJ244" s="145"/>
      <c r="AK244" s="145"/>
      <c r="AL244" s="145"/>
      <c r="AM244" s="145"/>
      <c r="AN244" s="145"/>
      <c r="AO244" s="145"/>
      <c r="AP244" s="145"/>
      <c r="AQ244" s="145"/>
      <c r="AR244" s="145"/>
      <c r="AS244" s="145"/>
      <c r="AT244" s="146"/>
      <c r="AU244" s="146"/>
      <c r="AV244" s="145"/>
      <c r="AW244" s="145"/>
      <c r="AX244" s="145"/>
      <c r="AY244" s="145"/>
      <c r="AZ244" s="145"/>
      <c r="BA244" s="145"/>
      <c r="BB244" s="145"/>
      <c r="BC244" s="145"/>
      <c r="BD244" s="145"/>
    </row>
    <row r="245" spans="1:56" ht="18.75" customHeight="1" x14ac:dyDescent="0.55000000000000004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  <c r="AE245" s="145"/>
      <c r="AF245" s="145"/>
      <c r="AG245" s="145"/>
      <c r="AH245" s="145"/>
      <c r="AI245" s="145"/>
      <c r="AJ245" s="145"/>
      <c r="AK245" s="145"/>
      <c r="AL245" s="145"/>
      <c r="AM245" s="145"/>
      <c r="AN245" s="145"/>
      <c r="AO245" s="145"/>
      <c r="AP245" s="145"/>
      <c r="AQ245" s="145"/>
      <c r="AR245" s="145"/>
      <c r="AS245" s="145"/>
      <c r="AT245" s="146"/>
      <c r="AU245" s="146"/>
      <c r="AV245" s="145"/>
      <c r="AW245" s="145"/>
      <c r="AX245" s="145"/>
      <c r="AY245" s="145"/>
      <c r="AZ245" s="145"/>
      <c r="BA245" s="145"/>
      <c r="BB245" s="145"/>
      <c r="BC245" s="145"/>
      <c r="BD245" s="145"/>
    </row>
    <row r="246" spans="1:56" ht="18.75" customHeight="1" x14ac:dyDescent="0.55000000000000004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  <c r="AE246" s="145"/>
      <c r="AF246" s="145"/>
      <c r="AG246" s="145"/>
      <c r="AH246" s="145"/>
      <c r="AI246" s="145"/>
      <c r="AJ246" s="145"/>
      <c r="AK246" s="145"/>
      <c r="AL246" s="145"/>
      <c r="AM246" s="145"/>
      <c r="AN246" s="145"/>
      <c r="AO246" s="145"/>
      <c r="AP246" s="145"/>
      <c r="AQ246" s="145"/>
      <c r="AR246" s="145"/>
      <c r="AS246" s="145"/>
      <c r="AT246" s="146"/>
      <c r="AU246" s="146"/>
      <c r="AV246" s="145"/>
      <c r="AW246" s="145"/>
      <c r="AX246" s="145"/>
      <c r="AY246" s="145"/>
      <c r="AZ246" s="145"/>
      <c r="BA246" s="145"/>
      <c r="BB246" s="145"/>
      <c r="BC246" s="145"/>
      <c r="BD246" s="145"/>
    </row>
    <row r="247" spans="1:56" ht="18.75" customHeight="1" x14ac:dyDescent="0.55000000000000004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  <c r="AP247" s="145"/>
      <c r="AQ247" s="145"/>
      <c r="AR247" s="145"/>
      <c r="AS247" s="145"/>
      <c r="AT247" s="146"/>
      <c r="AU247" s="146"/>
      <c r="AV247" s="145"/>
      <c r="AW247" s="145"/>
      <c r="AX247" s="145"/>
      <c r="AY247" s="145"/>
      <c r="AZ247" s="145"/>
      <c r="BA247" s="145"/>
      <c r="BB247" s="145"/>
      <c r="BC247" s="145"/>
      <c r="BD247" s="145"/>
    </row>
    <row r="248" spans="1:56" ht="18.75" customHeight="1" x14ac:dyDescent="0.55000000000000004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5"/>
      <c r="AP248" s="145"/>
      <c r="AQ248" s="145"/>
      <c r="AR248" s="145"/>
      <c r="AS248" s="145"/>
      <c r="AT248" s="146"/>
      <c r="AU248" s="146"/>
      <c r="AV248" s="145"/>
      <c r="AW248" s="145"/>
      <c r="AX248" s="145"/>
      <c r="AY248" s="145"/>
      <c r="AZ248" s="145"/>
      <c r="BA248" s="145"/>
      <c r="BB248" s="145"/>
      <c r="BC248" s="145"/>
      <c r="BD248" s="145"/>
    </row>
    <row r="249" spans="1:56" ht="18.75" customHeight="1" x14ac:dyDescent="0.55000000000000004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45"/>
      <c r="AI249" s="145"/>
      <c r="AJ249" s="145"/>
      <c r="AK249" s="145"/>
      <c r="AL249" s="145"/>
      <c r="AM249" s="145"/>
      <c r="AN249" s="145"/>
      <c r="AO249" s="145"/>
      <c r="AP249" s="145"/>
      <c r="AQ249" s="145"/>
      <c r="AR249" s="145"/>
      <c r="AS249" s="145"/>
      <c r="AT249" s="146"/>
      <c r="AU249" s="146"/>
      <c r="AV249" s="145"/>
      <c r="AW249" s="145"/>
      <c r="AX249" s="145"/>
      <c r="AY249" s="145"/>
      <c r="AZ249" s="145"/>
      <c r="BA249" s="145"/>
      <c r="BB249" s="145"/>
      <c r="BC249" s="145"/>
      <c r="BD249" s="145"/>
    </row>
    <row r="250" spans="1:56" ht="18.75" customHeight="1" x14ac:dyDescent="0.55000000000000004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  <c r="AP250" s="145"/>
      <c r="AQ250" s="145"/>
      <c r="AR250" s="145"/>
      <c r="AS250" s="145"/>
      <c r="AT250" s="146"/>
      <c r="AU250" s="146"/>
      <c r="AV250" s="145"/>
      <c r="AW250" s="145"/>
      <c r="AX250" s="145"/>
      <c r="AY250" s="145"/>
      <c r="AZ250" s="145"/>
      <c r="BA250" s="145"/>
      <c r="BB250" s="145"/>
      <c r="BC250" s="145"/>
      <c r="BD250" s="145"/>
    </row>
    <row r="251" spans="1:56" ht="18.75" customHeight="1" x14ac:dyDescent="0.55000000000000004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45"/>
      <c r="AI251" s="145"/>
      <c r="AJ251" s="145"/>
      <c r="AK251" s="145"/>
      <c r="AL251" s="145"/>
      <c r="AM251" s="145"/>
      <c r="AN251" s="145"/>
      <c r="AO251" s="145"/>
      <c r="AP251" s="145"/>
      <c r="AQ251" s="145"/>
      <c r="AR251" s="145"/>
      <c r="AS251" s="145"/>
      <c r="AT251" s="146"/>
      <c r="AU251" s="146"/>
      <c r="AV251" s="145"/>
      <c r="AW251" s="145"/>
      <c r="AX251" s="145"/>
      <c r="AY251" s="145"/>
      <c r="AZ251" s="145"/>
      <c r="BA251" s="145"/>
      <c r="BB251" s="145"/>
      <c r="BC251" s="145"/>
      <c r="BD251" s="145"/>
    </row>
    <row r="252" spans="1:56" ht="18.75" customHeight="1" x14ac:dyDescent="0.55000000000000004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  <c r="AI252" s="145"/>
      <c r="AJ252" s="145"/>
      <c r="AK252" s="145"/>
      <c r="AL252" s="145"/>
      <c r="AM252" s="145"/>
      <c r="AN252" s="145"/>
      <c r="AO252" s="145"/>
      <c r="AP252" s="145"/>
      <c r="AQ252" s="145"/>
      <c r="AR252" s="145"/>
      <c r="AS252" s="145"/>
      <c r="AT252" s="146"/>
      <c r="AU252" s="146"/>
      <c r="AV252" s="145"/>
      <c r="AW252" s="145"/>
      <c r="AX252" s="145"/>
      <c r="AY252" s="145"/>
      <c r="AZ252" s="145"/>
      <c r="BA252" s="145"/>
      <c r="BB252" s="145"/>
      <c r="BC252" s="145"/>
      <c r="BD252" s="145"/>
    </row>
    <row r="253" spans="1:56" ht="18.75" customHeight="1" x14ac:dyDescent="0.55000000000000004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  <c r="AJ253" s="145"/>
      <c r="AK253" s="145"/>
      <c r="AL253" s="145"/>
      <c r="AM253" s="145"/>
      <c r="AN253" s="145"/>
      <c r="AO253" s="145"/>
      <c r="AP253" s="145"/>
      <c r="AQ253" s="145"/>
      <c r="AR253" s="145"/>
      <c r="AS253" s="145"/>
      <c r="AT253" s="146"/>
      <c r="AU253" s="146"/>
      <c r="AV253" s="145"/>
      <c r="AW253" s="145"/>
      <c r="AX253" s="145"/>
      <c r="AY253" s="145"/>
      <c r="AZ253" s="145"/>
      <c r="BA253" s="145"/>
      <c r="BB253" s="145"/>
      <c r="BC253" s="145"/>
      <c r="BD253" s="145"/>
    </row>
    <row r="254" spans="1:56" ht="18.75" customHeight="1" x14ac:dyDescent="0.55000000000000004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  <c r="AE254" s="145"/>
      <c r="AF254" s="145"/>
      <c r="AG254" s="145"/>
      <c r="AH254" s="145"/>
      <c r="AI254" s="145"/>
      <c r="AJ254" s="145"/>
      <c r="AK254" s="145"/>
      <c r="AL254" s="145"/>
      <c r="AM254" s="145"/>
      <c r="AN254" s="145"/>
      <c r="AO254" s="145"/>
      <c r="AP254" s="145"/>
      <c r="AQ254" s="145"/>
      <c r="AR254" s="145"/>
      <c r="AS254" s="145"/>
      <c r="AT254" s="146"/>
      <c r="AU254" s="146"/>
      <c r="AV254" s="145"/>
      <c r="AW254" s="145"/>
      <c r="AX254" s="145"/>
      <c r="AY254" s="145"/>
      <c r="AZ254" s="145"/>
      <c r="BA254" s="145"/>
      <c r="BB254" s="145"/>
      <c r="BC254" s="145"/>
      <c r="BD254" s="145"/>
    </row>
    <row r="255" spans="1:56" ht="18.75" customHeight="1" x14ac:dyDescent="0.55000000000000004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  <c r="AP255" s="145"/>
      <c r="AQ255" s="145"/>
      <c r="AR255" s="145"/>
      <c r="AS255" s="145"/>
      <c r="AT255" s="146"/>
      <c r="AU255" s="146"/>
      <c r="AV255" s="145"/>
      <c r="AW255" s="145"/>
      <c r="AX255" s="145"/>
      <c r="AY255" s="145"/>
      <c r="AZ255" s="145"/>
      <c r="BA255" s="145"/>
      <c r="BB255" s="145"/>
      <c r="BC255" s="145"/>
      <c r="BD255" s="145"/>
    </row>
    <row r="256" spans="1:56" ht="18.75" customHeight="1" x14ac:dyDescent="0.55000000000000004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5"/>
      <c r="AQ256" s="145"/>
      <c r="AR256" s="145"/>
      <c r="AS256" s="145"/>
      <c r="AT256" s="146"/>
      <c r="AU256" s="146"/>
      <c r="AV256" s="145"/>
      <c r="AW256" s="145"/>
      <c r="AX256" s="145"/>
      <c r="AY256" s="145"/>
      <c r="AZ256" s="145"/>
      <c r="BA256" s="145"/>
      <c r="BB256" s="145"/>
      <c r="BC256" s="145"/>
      <c r="BD256" s="145"/>
    </row>
    <row r="257" spans="1:56" ht="18.75" customHeight="1" x14ac:dyDescent="0.55000000000000004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  <c r="AE257" s="145"/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  <c r="AP257" s="145"/>
      <c r="AQ257" s="145"/>
      <c r="AR257" s="145"/>
      <c r="AS257" s="145"/>
      <c r="AT257" s="146"/>
      <c r="AU257" s="146"/>
      <c r="AV257" s="145"/>
      <c r="AW257" s="145"/>
      <c r="AX257" s="145"/>
      <c r="AY257" s="145"/>
      <c r="AZ257" s="145"/>
      <c r="BA257" s="145"/>
      <c r="BB257" s="145"/>
      <c r="BC257" s="145"/>
      <c r="BD257" s="145"/>
    </row>
    <row r="258" spans="1:56" ht="18.75" customHeight="1" x14ac:dyDescent="0.55000000000000004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  <c r="AP258" s="145"/>
      <c r="AQ258" s="145"/>
      <c r="AR258" s="145"/>
      <c r="AS258" s="145"/>
      <c r="AT258" s="146"/>
      <c r="AU258" s="146"/>
      <c r="AV258" s="145"/>
      <c r="AW258" s="145"/>
      <c r="AX258" s="145"/>
      <c r="AY258" s="145"/>
      <c r="AZ258" s="145"/>
      <c r="BA258" s="145"/>
      <c r="BB258" s="145"/>
      <c r="BC258" s="145"/>
      <c r="BD258" s="145"/>
    </row>
    <row r="259" spans="1:56" ht="18.75" customHeight="1" x14ac:dyDescent="0.55000000000000004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  <c r="AE259" s="145"/>
      <c r="AF259" s="145"/>
      <c r="AG259" s="145"/>
      <c r="AH259" s="145"/>
      <c r="AI259" s="145"/>
      <c r="AJ259" s="145"/>
      <c r="AK259" s="145"/>
      <c r="AL259" s="145"/>
      <c r="AM259" s="145"/>
      <c r="AN259" s="145"/>
      <c r="AO259" s="145"/>
      <c r="AP259" s="145"/>
      <c r="AQ259" s="145"/>
      <c r="AR259" s="145"/>
      <c r="AS259" s="145"/>
      <c r="AT259" s="146"/>
      <c r="AU259" s="146"/>
      <c r="AV259" s="145"/>
      <c r="AW259" s="145"/>
      <c r="AX259" s="145"/>
      <c r="AY259" s="145"/>
      <c r="AZ259" s="145"/>
      <c r="BA259" s="145"/>
      <c r="BB259" s="145"/>
      <c r="BC259" s="145"/>
      <c r="BD259" s="145"/>
    </row>
    <row r="260" spans="1:56" ht="18.75" customHeight="1" x14ac:dyDescent="0.55000000000000004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  <c r="AP260" s="145"/>
      <c r="AQ260" s="145"/>
      <c r="AR260" s="145"/>
      <c r="AS260" s="145"/>
      <c r="AT260" s="146"/>
      <c r="AU260" s="146"/>
      <c r="AV260" s="145"/>
      <c r="AW260" s="145"/>
      <c r="AX260" s="145"/>
      <c r="AY260" s="145"/>
      <c r="AZ260" s="145"/>
      <c r="BA260" s="145"/>
      <c r="BB260" s="145"/>
      <c r="BC260" s="145"/>
      <c r="BD260" s="145"/>
    </row>
    <row r="261" spans="1:56" ht="18.75" customHeight="1" x14ac:dyDescent="0.55000000000000004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5"/>
      <c r="AL261" s="145"/>
      <c r="AM261" s="145"/>
      <c r="AN261" s="145"/>
      <c r="AO261" s="145"/>
      <c r="AP261" s="145"/>
      <c r="AQ261" s="145"/>
      <c r="AR261" s="145"/>
      <c r="AS261" s="145"/>
      <c r="AT261" s="146"/>
      <c r="AU261" s="146"/>
      <c r="AV261" s="145"/>
      <c r="AW261" s="145"/>
      <c r="AX261" s="145"/>
      <c r="AY261" s="145"/>
      <c r="AZ261" s="145"/>
      <c r="BA261" s="145"/>
      <c r="BB261" s="145"/>
      <c r="BC261" s="145"/>
      <c r="BD261" s="145"/>
    </row>
    <row r="262" spans="1:56" ht="18.75" customHeight="1" x14ac:dyDescent="0.55000000000000004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  <c r="AE262" s="145"/>
      <c r="AF262" s="145"/>
      <c r="AG262" s="145"/>
      <c r="AH262" s="145"/>
      <c r="AI262" s="145"/>
      <c r="AJ262" s="145"/>
      <c r="AK262" s="145"/>
      <c r="AL262" s="145"/>
      <c r="AM262" s="145"/>
      <c r="AN262" s="145"/>
      <c r="AO262" s="145"/>
      <c r="AP262" s="145"/>
      <c r="AQ262" s="145"/>
      <c r="AR262" s="145"/>
      <c r="AS262" s="145"/>
      <c r="AT262" s="146"/>
      <c r="AU262" s="146"/>
      <c r="AV262" s="145"/>
      <c r="AW262" s="145"/>
      <c r="AX262" s="145"/>
      <c r="AY262" s="145"/>
      <c r="AZ262" s="145"/>
      <c r="BA262" s="145"/>
      <c r="BB262" s="145"/>
      <c r="BC262" s="145"/>
      <c r="BD262" s="145"/>
    </row>
    <row r="263" spans="1:56" ht="18.75" customHeight="1" x14ac:dyDescent="0.55000000000000004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  <c r="AE263" s="145"/>
      <c r="AF263" s="145"/>
      <c r="AG263" s="145"/>
      <c r="AH263" s="145"/>
      <c r="AI263" s="145"/>
      <c r="AJ263" s="145"/>
      <c r="AK263" s="145"/>
      <c r="AL263" s="145"/>
      <c r="AM263" s="145"/>
      <c r="AN263" s="145"/>
      <c r="AO263" s="145"/>
      <c r="AP263" s="145"/>
      <c r="AQ263" s="145"/>
      <c r="AR263" s="145"/>
      <c r="AS263" s="145"/>
      <c r="AT263" s="146"/>
      <c r="AU263" s="146"/>
      <c r="AV263" s="145"/>
      <c r="AW263" s="145"/>
      <c r="AX263" s="145"/>
      <c r="AY263" s="145"/>
      <c r="AZ263" s="145"/>
      <c r="BA263" s="145"/>
      <c r="BB263" s="145"/>
      <c r="BC263" s="145"/>
      <c r="BD263" s="145"/>
    </row>
    <row r="264" spans="1:56" ht="18.75" customHeight="1" x14ac:dyDescent="0.55000000000000004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  <c r="AP264" s="145"/>
      <c r="AQ264" s="145"/>
      <c r="AR264" s="145"/>
      <c r="AS264" s="145"/>
      <c r="AT264" s="146"/>
      <c r="AU264" s="146"/>
      <c r="AV264" s="145"/>
      <c r="AW264" s="145"/>
      <c r="AX264" s="145"/>
      <c r="AY264" s="145"/>
      <c r="AZ264" s="145"/>
      <c r="BA264" s="145"/>
      <c r="BB264" s="145"/>
      <c r="BC264" s="145"/>
      <c r="BD264" s="145"/>
    </row>
    <row r="265" spans="1:56" ht="18.75" customHeight="1" x14ac:dyDescent="0.55000000000000004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  <c r="AP265" s="145"/>
      <c r="AQ265" s="145"/>
      <c r="AR265" s="145"/>
      <c r="AS265" s="145"/>
      <c r="AT265" s="146"/>
      <c r="AU265" s="146"/>
      <c r="AV265" s="145"/>
      <c r="AW265" s="145"/>
      <c r="AX265" s="145"/>
      <c r="AY265" s="145"/>
      <c r="AZ265" s="145"/>
      <c r="BA265" s="145"/>
      <c r="BB265" s="145"/>
      <c r="BC265" s="145"/>
      <c r="BD265" s="145"/>
    </row>
    <row r="266" spans="1:56" ht="18.75" customHeight="1" x14ac:dyDescent="0.55000000000000004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  <c r="AP266" s="145"/>
      <c r="AQ266" s="145"/>
      <c r="AR266" s="145"/>
      <c r="AS266" s="145"/>
      <c r="AT266" s="146"/>
      <c r="AU266" s="146"/>
      <c r="AV266" s="145"/>
      <c r="AW266" s="145"/>
      <c r="AX266" s="145"/>
      <c r="AY266" s="145"/>
      <c r="AZ266" s="145"/>
      <c r="BA266" s="145"/>
      <c r="BB266" s="145"/>
      <c r="BC266" s="145"/>
      <c r="BD266" s="145"/>
    </row>
    <row r="267" spans="1:56" ht="18.75" customHeight="1" x14ac:dyDescent="0.55000000000000004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  <c r="AE267" s="145"/>
      <c r="AF267" s="145"/>
      <c r="AG267" s="145"/>
      <c r="AH267" s="145"/>
      <c r="AI267" s="145"/>
      <c r="AJ267" s="145"/>
      <c r="AK267" s="145"/>
      <c r="AL267" s="145"/>
      <c r="AM267" s="145"/>
      <c r="AN267" s="145"/>
      <c r="AO267" s="145"/>
      <c r="AP267" s="145"/>
      <c r="AQ267" s="145"/>
      <c r="AR267" s="145"/>
      <c r="AS267" s="145"/>
      <c r="AT267" s="146"/>
      <c r="AU267" s="146"/>
      <c r="AV267" s="145"/>
      <c r="AW267" s="145"/>
      <c r="AX267" s="145"/>
      <c r="AY267" s="145"/>
      <c r="AZ267" s="145"/>
      <c r="BA267" s="145"/>
      <c r="BB267" s="145"/>
      <c r="BC267" s="145"/>
      <c r="BD267" s="145"/>
    </row>
    <row r="268" spans="1:56" ht="18.75" customHeight="1" x14ac:dyDescent="0.55000000000000004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  <c r="AP268" s="145"/>
      <c r="AQ268" s="145"/>
      <c r="AR268" s="145"/>
      <c r="AS268" s="145"/>
      <c r="AT268" s="146"/>
      <c r="AU268" s="146"/>
      <c r="AV268" s="145"/>
      <c r="AW268" s="145"/>
      <c r="AX268" s="145"/>
      <c r="AY268" s="145"/>
      <c r="AZ268" s="145"/>
      <c r="BA268" s="145"/>
      <c r="BB268" s="145"/>
      <c r="BC268" s="145"/>
      <c r="BD268" s="145"/>
    </row>
    <row r="269" spans="1:56" ht="18.75" customHeight="1" x14ac:dyDescent="0.55000000000000004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  <c r="AE269" s="145"/>
      <c r="AF269" s="145"/>
      <c r="AG269" s="145"/>
      <c r="AH269" s="145"/>
      <c r="AI269" s="145"/>
      <c r="AJ269" s="145"/>
      <c r="AK269" s="145"/>
      <c r="AL269" s="145"/>
      <c r="AM269" s="145"/>
      <c r="AN269" s="145"/>
      <c r="AO269" s="145"/>
      <c r="AP269" s="145"/>
      <c r="AQ269" s="145"/>
      <c r="AR269" s="145"/>
      <c r="AS269" s="145"/>
      <c r="AT269" s="146"/>
      <c r="AU269" s="146"/>
      <c r="AV269" s="145"/>
      <c r="AW269" s="145"/>
      <c r="AX269" s="145"/>
      <c r="AY269" s="145"/>
      <c r="AZ269" s="145"/>
      <c r="BA269" s="145"/>
      <c r="BB269" s="145"/>
      <c r="BC269" s="145"/>
      <c r="BD269" s="145"/>
    </row>
    <row r="270" spans="1:56" ht="18.75" customHeight="1" x14ac:dyDescent="0.55000000000000004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6"/>
      <c r="AU270" s="146"/>
      <c r="AV270" s="145"/>
      <c r="AW270" s="145"/>
      <c r="AX270" s="145"/>
      <c r="AY270" s="145"/>
      <c r="AZ270" s="145"/>
      <c r="BA270" s="145"/>
      <c r="BB270" s="145"/>
      <c r="BC270" s="145"/>
      <c r="BD270" s="145"/>
    </row>
    <row r="271" spans="1:56" ht="18.75" customHeight="1" x14ac:dyDescent="0.55000000000000004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6"/>
      <c r="AU271" s="146"/>
      <c r="AV271" s="145"/>
      <c r="AW271" s="145"/>
      <c r="AX271" s="145"/>
      <c r="AY271" s="145"/>
      <c r="AZ271" s="145"/>
      <c r="BA271" s="145"/>
      <c r="BB271" s="145"/>
      <c r="BC271" s="145"/>
      <c r="BD271" s="145"/>
    </row>
    <row r="272" spans="1:56" ht="18.75" customHeight="1" x14ac:dyDescent="0.55000000000000004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6"/>
      <c r="AU272" s="146"/>
      <c r="AV272" s="145"/>
      <c r="AW272" s="145"/>
      <c r="AX272" s="145"/>
      <c r="AY272" s="145"/>
      <c r="AZ272" s="145"/>
      <c r="BA272" s="145"/>
      <c r="BB272" s="145"/>
      <c r="BC272" s="145"/>
      <c r="BD272" s="145"/>
    </row>
    <row r="273" spans="1:56" ht="18.75" customHeight="1" x14ac:dyDescent="0.55000000000000004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  <c r="AP273" s="145"/>
      <c r="AQ273" s="145"/>
      <c r="AR273" s="145"/>
      <c r="AS273" s="145"/>
      <c r="AT273" s="146"/>
      <c r="AU273" s="146"/>
      <c r="AV273" s="145"/>
      <c r="AW273" s="145"/>
      <c r="AX273" s="145"/>
      <c r="AY273" s="145"/>
      <c r="AZ273" s="145"/>
      <c r="BA273" s="145"/>
      <c r="BB273" s="145"/>
      <c r="BC273" s="145"/>
      <c r="BD273" s="145"/>
    </row>
    <row r="274" spans="1:56" ht="18.75" customHeight="1" x14ac:dyDescent="0.55000000000000004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  <c r="AP274" s="145"/>
      <c r="AQ274" s="145"/>
      <c r="AR274" s="145"/>
      <c r="AS274" s="145"/>
      <c r="AT274" s="146"/>
      <c r="AU274" s="146"/>
      <c r="AV274" s="145"/>
      <c r="AW274" s="145"/>
      <c r="AX274" s="145"/>
      <c r="AY274" s="145"/>
      <c r="AZ274" s="145"/>
      <c r="BA274" s="145"/>
      <c r="BB274" s="145"/>
      <c r="BC274" s="145"/>
      <c r="BD274" s="145"/>
    </row>
    <row r="275" spans="1:56" ht="18.75" customHeight="1" x14ac:dyDescent="0.55000000000000004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  <c r="AP275" s="145"/>
      <c r="AQ275" s="145"/>
      <c r="AR275" s="145"/>
      <c r="AS275" s="145"/>
      <c r="AT275" s="146"/>
      <c r="AU275" s="146"/>
      <c r="AV275" s="145"/>
      <c r="AW275" s="145"/>
      <c r="AX275" s="145"/>
      <c r="AY275" s="145"/>
      <c r="AZ275" s="145"/>
      <c r="BA275" s="145"/>
      <c r="BB275" s="145"/>
      <c r="BC275" s="145"/>
      <c r="BD275" s="145"/>
    </row>
    <row r="276" spans="1:56" ht="18.75" customHeight="1" x14ac:dyDescent="0.55000000000000004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  <c r="AP276" s="145"/>
      <c r="AQ276" s="145"/>
      <c r="AR276" s="145"/>
      <c r="AS276" s="145"/>
      <c r="AT276" s="146"/>
      <c r="AU276" s="146"/>
      <c r="AV276" s="145"/>
      <c r="AW276" s="145"/>
      <c r="AX276" s="145"/>
      <c r="AY276" s="145"/>
      <c r="AZ276" s="145"/>
      <c r="BA276" s="145"/>
      <c r="BB276" s="145"/>
      <c r="BC276" s="145"/>
      <c r="BD276" s="145"/>
    </row>
    <row r="277" spans="1:56" ht="18.75" customHeight="1" x14ac:dyDescent="0.55000000000000004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  <c r="AP277" s="145"/>
      <c r="AQ277" s="145"/>
      <c r="AR277" s="145"/>
      <c r="AS277" s="145"/>
      <c r="AT277" s="146"/>
      <c r="AU277" s="146"/>
      <c r="AV277" s="145"/>
      <c r="AW277" s="145"/>
      <c r="AX277" s="145"/>
      <c r="AY277" s="145"/>
      <c r="AZ277" s="145"/>
      <c r="BA277" s="145"/>
      <c r="BB277" s="145"/>
      <c r="BC277" s="145"/>
      <c r="BD277" s="145"/>
    </row>
    <row r="278" spans="1:56" ht="18.75" customHeight="1" x14ac:dyDescent="0.55000000000000004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  <c r="AP278" s="145"/>
      <c r="AQ278" s="145"/>
      <c r="AR278" s="145"/>
      <c r="AS278" s="145"/>
      <c r="AT278" s="146"/>
      <c r="AU278" s="146"/>
      <c r="AV278" s="145"/>
      <c r="AW278" s="145"/>
      <c r="AX278" s="145"/>
      <c r="AY278" s="145"/>
      <c r="AZ278" s="145"/>
      <c r="BA278" s="145"/>
      <c r="BB278" s="145"/>
      <c r="BC278" s="145"/>
      <c r="BD278" s="145"/>
    </row>
    <row r="279" spans="1:56" ht="18.75" customHeight="1" x14ac:dyDescent="0.55000000000000004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  <c r="AE279" s="145"/>
      <c r="AF279" s="145"/>
      <c r="AG279" s="145"/>
      <c r="AH279" s="145"/>
      <c r="AI279" s="145"/>
      <c r="AJ279" s="145"/>
      <c r="AK279" s="145"/>
      <c r="AL279" s="145"/>
      <c r="AM279" s="145"/>
      <c r="AN279" s="145"/>
      <c r="AO279" s="145"/>
      <c r="AP279" s="145"/>
      <c r="AQ279" s="145"/>
      <c r="AR279" s="145"/>
      <c r="AS279" s="145"/>
      <c r="AT279" s="146"/>
      <c r="AU279" s="146"/>
      <c r="AV279" s="145"/>
      <c r="AW279" s="145"/>
      <c r="AX279" s="145"/>
      <c r="AY279" s="145"/>
      <c r="AZ279" s="145"/>
      <c r="BA279" s="145"/>
      <c r="BB279" s="145"/>
      <c r="BC279" s="145"/>
      <c r="BD279" s="145"/>
    </row>
    <row r="280" spans="1:56" ht="18.75" customHeight="1" x14ac:dyDescent="0.55000000000000004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  <c r="AP280" s="145"/>
      <c r="AQ280" s="145"/>
      <c r="AR280" s="145"/>
      <c r="AS280" s="145"/>
      <c r="AT280" s="146"/>
      <c r="AU280" s="146"/>
      <c r="AV280" s="145"/>
      <c r="AW280" s="145"/>
      <c r="AX280" s="145"/>
      <c r="AY280" s="145"/>
      <c r="AZ280" s="145"/>
      <c r="BA280" s="145"/>
      <c r="BB280" s="145"/>
      <c r="BC280" s="145"/>
      <c r="BD280" s="145"/>
    </row>
    <row r="281" spans="1:56" ht="18.75" customHeight="1" x14ac:dyDescent="0.55000000000000004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  <c r="AN281" s="145"/>
      <c r="AO281" s="145"/>
      <c r="AP281" s="145"/>
      <c r="AQ281" s="145"/>
      <c r="AR281" s="145"/>
      <c r="AS281" s="145"/>
      <c r="AT281" s="146"/>
      <c r="AU281" s="146"/>
      <c r="AV281" s="145"/>
      <c r="AW281" s="145"/>
      <c r="AX281" s="145"/>
      <c r="AY281" s="145"/>
      <c r="AZ281" s="145"/>
      <c r="BA281" s="145"/>
      <c r="BB281" s="145"/>
      <c r="BC281" s="145"/>
      <c r="BD281" s="145"/>
    </row>
    <row r="282" spans="1:56" ht="18.75" customHeight="1" x14ac:dyDescent="0.55000000000000004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  <c r="AE282" s="145"/>
      <c r="AF282" s="145"/>
      <c r="AG282" s="145"/>
      <c r="AH282" s="145"/>
      <c r="AI282" s="145"/>
      <c r="AJ282" s="145"/>
      <c r="AK282" s="145"/>
      <c r="AL282" s="145"/>
      <c r="AM282" s="145"/>
      <c r="AN282" s="145"/>
      <c r="AO282" s="145"/>
      <c r="AP282" s="145"/>
      <c r="AQ282" s="145"/>
      <c r="AR282" s="145"/>
      <c r="AS282" s="145"/>
      <c r="AT282" s="146"/>
      <c r="AU282" s="146"/>
      <c r="AV282" s="145"/>
      <c r="AW282" s="145"/>
      <c r="AX282" s="145"/>
      <c r="AY282" s="145"/>
      <c r="AZ282" s="145"/>
      <c r="BA282" s="145"/>
      <c r="BB282" s="145"/>
      <c r="BC282" s="145"/>
      <c r="BD282" s="145"/>
    </row>
    <row r="283" spans="1:56" ht="18.75" customHeight="1" x14ac:dyDescent="0.55000000000000004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  <c r="AE283" s="145"/>
      <c r="AF283" s="145"/>
      <c r="AG283" s="145"/>
      <c r="AH283" s="145"/>
      <c r="AI283" s="145"/>
      <c r="AJ283" s="145"/>
      <c r="AK283" s="145"/>
      <c r="AL283" s="145"/>
      <c r="AM283" s="145"/>
      <c r="AN283" s="145"/>
      <c r="AO283" s="145"/>
      <c r="AP283" s="145"/>
      <c r="AQ283" s="145"/>
      <c r="AR283" s="145"/>
      <c r="AS283" s="145"/>
      <c r="AT283" s="146"/>
      <c r="AU283" s="146"/>
      <c r="AV283" s="145"/>
      <c r="AW283" s="145"/>
      <c r="AX283" s="145"/>
      <c r="AY283" s="145"/>
      <c r="AZ283" s="145"/>
      <c r="BA283" s="145"/>
      <c r="BB283" s="145"/>
      <c r="BC283" s="145"/>
      <c r="BD283" s="145"/>
    </row>
    <row r="284" spans="1:56" ht="18.75" customHeight="1" x14ac:dyDescent="0.55000000000000004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  <c r="AE284" s="145"/>
      <c r="AF284" s="145"/>
      <c r="AG284" s="145"/>
      <c r="AH284" s="145"/>
      <c r="AI284" s="145"/>
      <c r="AJ284" s="145"/>
      <c r="AK284" s="145"/>
      <c r="AL284" s="145"/>
      <c r="AM284" s="145"/>
      <c r="AN284" s="145"/>
      <c r="AO284" s="145"/>
      <c r="AP284" s="145"/>
      <c r="AQ284" s="145"/>
      <c r="AR284" s="145"/>
      <c r="AS284" s="145"/>
      <c r="AT284" s="146"/>
      <c r="AU284" s="146"/>
      <c r="AV284" s="145"/>
      <c r="AW284" s="145"/>
      <c r="AX284" s="145"/>
      <c r="AY284" s="145"/>
      <c r="AZ284" s="145"/>
      <c r="BA284" s="145"/>
      <c r="BB284" s="145"/>
      <c r="BC284" s="145"/>
      <c r="BD284" s="145"/>
    </row>
    <row r="285" spans="1:56" ht="18.75" customHeight="1" x14ac:dyDescent="0.55000000000000004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6"/>
      <c r="AU285" s="146"/>
      <c r="AV285" s="145"/>
      <c r="AW285" s="145"/>
      <c r="AX285" s="145"/>
      <c r="AY285" s="145"/>
      <c r="AZ285" s="145"/>
      <c r="BA285" s="145"/>
      <c r="BB285" s="145"/>
      <c r="BC285" s="145"/>
      <c r="BD285" s="145"/>
    </row>
    <row r="286" spans="1:56" ht="18.75" customHeight="1" x14ac:dyDescent="0.55000000000000004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  <c r="AE286" s="145"/>
      <c r="AF286" s="145"/>
      <c r="AG286" s="145"/>
      <c r="AH286" s="145"/>
      <c r="AI286" s="145"/>
      <c r="AJ286" s="145"/>
      <c r="AK286" s="145"/>
      <c r="AL286" s="145"/>
      <c r="AM286" s="145"/>
      <c r="AN286" s="145"/>
      <c r="AO286" s="145"/>
      <c r="AP286" s="145"/>
      <c r="AQ286" s="145"/>
      <c r="AR286" s="145"/>
      <c r="AS286" s="145"/>
      <c r="AT286" s="146"/>
      <c r="AU286" s="146"/>
      <c r="AV286" s="145"/>
      <c r="AW286" s="145"/>
      <c r="AX286" s="145"/>
      <c r="AY286" s="145"/>
      <c r="AZ286" s="145"/>
      <c r="BA286" s="145"/>
      <c r="BB286" s="145"/>
      <c r="BC286" s="145"/>
      <c r="BD286" s="145"/>
    </row>
    <row r="287" spans="1:56" ht="18.75" customHeight="1" x14ac:dyDescent="0.55000000000000004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  <c r="AE287" s="145"/>
      <c r="AF287" s="145"/>
      <c r="AG287" s="145"/>
      <c r="AH287" s="145"/>
      <c r="AI287" s="145"/>
      <c r="AJ287" s="145"/>
      <c r="AK287" s="145"/>
      <c r="AL287" s="145"/>
      <c r="AM287" s="145"/>
      <c r="AN287" s="145"/>
      <c r="AO287" s="145"/>
      <c r="AP287" s="145"/>
      <c r="AQ287" s="145"/>
      <c r="AR287" s="145"/>
      <c r="AS287" s="145"/>
      <c r="AT287" s="146"/>
      <c r="AU287" s="146"/>
      <c r="AV287" s="145"/>
      <c r="AW287" s="145"/>
      <c r="AX287" s="145"/>
      <c r="AY287" s="145"/>
      <c r="AZ287" s="145"/>
      <c r="BA287" s="145"/>
      <c r="BB287" s="145"/>
      <c r="BC287" s="145"/>
      <c r="BD287" s="145"/>
    </row>
    <row r="288" spans="1:56" ht="18.75" customHeight="1" x14ac:dyDescent="0.55000000000000004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  <c r="AE288" s="145"/>
      <c r="AF288" s="145"/>
      <c r="AG288" s="145"/>
      <c r="AH288" s="145"/>
      <c r="AI288" s="145"/>
      <c r="AJ288" s="145"/>
      <c r="AK288" s="145"/>
      <c r="AL288" s="145"/>
      <c r="AM288" s="145"/>
      <c r="AN288" s="145"/>
      <c r="AO288" s="145"/>
      <c r="AP288" s="145"/>
      <c r="AQ288" s="145"/>
      <c r="AR288" s="145"/>
      <c r="AS288" s="145"/>
      <c r="AT288" s="146"/>
      <c r="AU288" s="146"/>
      <c r="AV288" s="145"/>
      <c r="AW288" s="145"/>
      <c r="AX288" s="145"/>
      <c r="AY288" s="145"/>
      <c r="AZ288" s="145"/>
      <c r="BA288" s="145"/>
      <c r="BB288" s="145"/>
      <c r="BC288" s="145"/>
      <c r="BD288" s="145"/>
    </row>
    <row r="289" spans="1:56" ht="18.75" customHeight="1" x14ac:dyDescent="0.55000000000000004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  <c r="AE289" s="145"/>
      <c r="AF289" s="145"/>
      <c r="AG289" s="145"/>
      <c r="AH289" s="145"/>
      <c r="AI289" s="145"/>
      <c r="AJ289" s="145"/>
      <c r="AK289" s="145"/>
      <c r="AL289" s="145"/>
      <c r="AM289" s="145"/>
      <c r="AN289" s="145"/>
      <c r="AO289" s="145"/>
      <c r="AP289" s="145"/>
      <c r="AQ289" s="145"/>
      <c r="AR289" s="145"/>
      <c r="AS289" s="145"/>
      <c r="AT289" s="146"/>
      <c r="AU289" s="146"/>
      <c r="AV289" s="145"/>
      <c r="AW289" s="145"/>
      <c r="AX289" s="145"/>
      <c r="AY289" s="145"/>
      <c r="AZ289" s="145"/>
      <c r="BA289" s="145"/>
      <c r="BB289" s="145"/>
      <c r="BC289" s="145"/>
      <c r="BD289" s="145"/>
    </row>
    <row r="290" spans="1:56" ht="18.75" customHeight="1" x14ac:dyDescent="0.55000000000000004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145"/>
      <c r="AG290" s="145"/>
      <c r="AH290" s="145"/>
      <c r="AI290" s="145"/>
      <c r="AJ290" s="145"/>
      <c r="AK290" s="145"/>
      <c r="AL290" s="145"/>
      <c r="AM290" s="145"/>
      <c r="AN290" s="145"/>
      <c r="AO290" s="145"/>
      <c r="AP290" s="145"/>
      <c r="AQ290" s="145"/>
      <c r="AR290" s="145"/>
      <c r="AS290" s="145"/>
      <c r="AT290" s="146"/>
      <c r="AU290" s="146"/>
      <c r="AV290" s="145"/>
      <c r="AW290" s="145"/>
      <c r="AX290" s="145"/>
      <c r="AY290" s="145"/>
      <c r="AZ290" s="145"/>
      <c r="BA290" s="145"/>
      <c r="BB290" s="145"/>
      <c r="BC290" s="145"/>
      <c r="BD290" s="145"/>
    </row>
    <row r="291" spans="1:56" ht="18.75" customHeight="1" x14ac:dyDescent="0.55000000000000004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145"/>
      <c r="AG291" s="145"/>
      <c r="AH291" s="145"/>
      <c r="AI291" s="145"/>
      <c r="AJ291" s="145"/>
      <c r="AK291" s="145"/>
      <c r="AL291" s="145"/>
      <c r="AM291" s="145"/>
      <c r="AN291" s="145"/>
      <c r="AO291" s="145"/>
      <c r="AP291" s="145"/>
      <c r="AQ291" s="145"/>
      <c r="AR291" s="145"/>
      <c r="AS291" s="145"/>
      <c r="AT291" s="146"/>
      <c r="AU291" s="146"/>
      <c r="AV291" s="145"/>
      <c r="AW291" s="145"/>
      <c r="AX291" s="145"/>
      <c r="AY291" s="145"/>
      <c r="AZ291" s="145"/>
      <c r="BA291" s="145"/>
      <c r="BB291" s="145"/>
      <c r="BC291" s="145"/>
      <c r="BD291" s="145"/>
    </row>
    <row r="292" spans="1:56" ht="18.75" customHeight="1" x14ac:dyDescent="0.55000000000000004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  <c r="AE292" s="145"/>
      <c r="AF292" s="145"/>
      <c r="AG292" s="145"/>
      <c r="AH292" s="145"/>
      <c r="AI292" s="145"/>
      <c r="AJ292" s="145"/>
      <c r="AK292" s="145"/>
      <c r="AL292" s="145"/>
      <c r="AM292" s="145"/>
      <c r="AN292" s="145"/>
      <c r="AO292" s="145"/>
      <c r="AP292" s="145"/>
      <c r="AQ292" s="145"/>
      <c r="AR292" s="145"/>
      <c r="AS292" s="145"/>
      <c r="AT292" s="146"/>
      <c r="AU292" s="146"/>
      <c r="AV292" s="145"/>
      <c r="AW292" s="145"/>
      <c r="AX292" s="145"/>
      <c r="AY292" s="145"/>
      <c r="AZ292" s="145"/>
      <c r="BA292" s="145"/>
      <c r="BB292" s="145"/>
      <c r="BC292" s="145"/>
      <c r="BD292" s="145"/>
    </row>
    <row r="293" spans="1:56" ht="18.75" customHeight="1" x14ac:dyDescent="0.55000000000000004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  <c r="AE293" s="145"/>
      <c r="AF293" s="145"/>
      <c r="AG293" s="145"/>
      <c r="AH293" s="145"/>
      <c r="AI293" s="145"/>
      <c r="AJ293" s="145"/>
      <c r="AK293" s="145"/>
      <c r="AL293" s="145"/>
      <c r="AM293" s="145"/>
      <c r="AN293" s="145"/>
      <c r="AO293" s="145"/>
      <c r="AP293" s="145"/>
      <c r="AQ293" s="145"/>
      <c r="AR293" s="145"/>
      <c r="AS293" s="145"/>
      <c r="AT293" s="146"/>
      <c r="AU293" s="146"/>
      <c r="AV293" s="145"/>
      <c r="AW293" s="145"/>
      <c r="AX293" s="145"/>
      <c r="AY293" s="145"/>
      <c r="AZ293" s="145"/>
      <c r="BA293" s="145"/>
      <c r="BB293" s="145"/>
      <c r="BC293" s="145"/>
      <c r="BD293" s="145"/>
    </row>
    <row r="294" spans="1:56" ht="18.75" customHeight="1" x14ac:dyDescent="0.55000000000000004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  <c r="AC294" s="145"/>
      <c r="AD294" s="145"/>
      <c r="AE294" s="145"/>
      <c r="AF294" s="145"/>
      <c r="AG294" s="145"/>
      <c r="AH294" s="145"/>
      <c r="AI294" s="145"/>
      <c r="AJ294" s="145"/>
      <c r="AK294" s="145"/>
      <c r="AL294" s="145"/>
      <c r="AM294" s="145"/>
      <c r="AN294" s="145"/>
      <c r="AO294" s="145"/>
      <c r="AP294" s="145"/>
      <c r="AQ294" s="145"/>
      <c r="AR294" s="145"/>
      <c r="AS294" s="145"/>
      <c r="AT294" s="146"/>
      <c r="AU294" s="146"/>
      <c r="AV294" s="145"/>
      <c r="AW294" s="145"/>
      <c r="AX294" s="145"/>
      <c r="AY294" s="145"/>
      <c r="AZ294" s="145"/>
      <c r="BA294" s="145"/>
      <c r="BB294" s="145"/>
      <c r="BC294" s="145"/>
      <c r="BD294" s="145"/>
    </row>
    <row r="295" spans="1:56" ht="18.75" customHeight="1" x14ac:dyDescent="0.55000000000000004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  <c r="AE295" s="145"/>
      <c r="AF295" s="145"/>
      <c r="AG295" s="145"/>
      <c r="AH295" s="145"/>
      <c r="AI295" s="145"/>
      <c r="AJ295" s="145"/>
      <c r="AK295" s="145"/>
      <c r="AL295" s="145"/>
      <c r="AM295" s="145"/>
      <c r="AN295" s="145"/>
      <c r="AO295" s="145"/>
      <c r="AP295" s="145"/>
      <c r="AQ295" s="145"/>
      <c r="AR295" s="145"/>
      <c r="AS295" s="145"/>
      <c r="AT295" s="146"/>
      <c r="AU295" s="146"/>
      <c r="AV295" s="145"/>
      <c r="AW295" s="145"/>
      <c r="AX295" s="145"/>
      <c r="AY295" s="145"/>
      <c r="AZ295" s="145"/>
      <c r="BA295" s="145"/>
      <c r="BB295" s="145"/>
      <c r="BC295" s="145"/>
      <c r="BD295" s="145"/>
    </row>
    <row r="296" spans="1:56" ht="18.75" customHeight="1" x14ac:dyDescent="0.55000000000000004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  <c r="AC296" s="145"/>
      <c r="AD296" s="145"/>
      <c r="AE296" s="145"/>
      <c r="AF296" s="145"/>
      <c r="AG296" s="145"/>
      <c r="AH296" s="145"/>
      <c r="AI296" s="145"/>
      <c r="AJ296" s="145"/>
      <c r="AK296" s="145"/>
      <c r="AL296" s="145"/>
      <c r="AM296" s="145"/>
      <c r="AN296" s="145"/>
      <c r="AO296" s="145"/>
      <c r="AP296" s="145"/>
      <c r="AQ296" s="145"/>
      <c r="AR296" s="145"/>
      <c r="AS296" s="145"/>
      <c r="AT296" s="146"/>
      <c r="AU296" s="146"/>
      <c r="AV296" s="145"/>
      <c r="AW296" s="145"/>
      <c r="AX296" s="145"/>
      <c r="AY296" s="145"/>
      <c r="AZ296" s="145"/>
      <c r="BA296" s="145"/>
      <c r="BB296" s="145"/>
      <c r="BC296" s="145"/>
      <c r="BD296" s="145"/>
    </row>
    <row r="297" spans="1:56" ht="18.75" customHeight="1" x14ac:dyDescent="0.55000000000000004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  <c r="AC297" s="145"/>
      <c r="AD297" s="145"/>
      <c r="AE297" s="145"/>
      <c r="AF297" s="145"/>
      <c r="AG297" s="145"/>
      <c r="AH297" s="145"/>
      <c r="AI297" s="145"/>
      <c r="AJ297" s="145"/>
      <c r="AK297" s="145"/>
      <c r="AL297" s="145"/>
      <c r="AM297" s="145"/>
      <c r="AN297" s="145"/>
      <c r="AO297" s="145"/>
      <c r="AP297" s="145"/>
      <c r="AQ297" s="145"/>
      <c r="AR297" s="145"/>
      <c r="AS297" s="145"/>
      <c r="AT297" s="146"/>
      <c r="AU297" s="146"/>
      <c r="AV297" s="145"/>
      <c r="AW297" s="145"/>
      <c r="AX297" s="145"/>
      <c r="AY297" s="145"/>
      <c r="AZ297" s="145"/>
      <c r="BA297" s="145"/>
      <c r="BB297" s="145"/>
      <c r="BC297" s="145"/>
      <c r="BD297" s="145"/>
    </row>
    <row r="298" spans="1:56" ht="18.75" customHeight="1" x14ac:dyDescent="0.55000000000000004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  <c r="AC298" s="145"/>
      <c r="AD298" s="145"/>
      <c r="AE298" s="145"/>
      <c r="AF298" s="145"/>
      <c r="AG298" s="145"/>
      <c r="AH298" s="145"/>
      <c r="AI298" s="145"/>
      <c r="AJ298" s="145"/>
      <c r="AK298" s="145"/>
      <c r="AL298" s="145"/>
      <c r="AM298" s="145"/>
      <c r="AN298" s="145"/>
      <c r="AO298" s="145"/>
      <c r="AP298" s="145"/>
      <c r="AQ298" s="145"/>
      <c r="AR298" s="145"/>
      <c r="AS298" s="145"/>
      <c r="AT298" s="146"/>
      <c r="AU298" s="146"/>
      <c r="AV298" s="145"/>
      <c r="AW298" s="145"/>
      <c r="AX298" s="145"/>
      <c r="AY298" s="145"/>
      <c r="AZ298" s="145"/>
      <c r="BA298" s="145"/>
      <c r="BB298" s="145"/>
      <c r="BC298" s="145"/>
      <c r="BD298" s="145"/>
    </row>
    <row r="299" spans="1:56" ht="18.75" customHeight="1" x14ac:dyDescent="0.55000000000000004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  <c r="AC299" s="145"/>
      <c r="AD299" s="145"/>
      <c r="AE299" s="145"/>
      <c r="AF299" s="145"/>
      <c r="AG299" s="145"/>
      <c r="AH299" s="145"/>
      <c r="AI299" s="145"/>
      <c r="AJ299" s="145"/>
      <c r="AK299" s="145"/>
      <c r="AL299" s="145"/>
      <c r="AM299" s="145"/>
      <c r="AN299" s="145"/>
      <c r="AO299" s="145"/>
      <c r="AP299" s="145"/>
      <c r="AQ299" s="145"/>
      <c r="AR299" s="145"/>
      <c r="AS299" s="145"/>
      <c r="AT299" s="146"/>
      <c r="AU299" s="146"/>
      <c r="AV299" s="145"/>
      <c r="AW299" s="145"/>
      <c r="AX299" s="145"/>
      <c r="AY299" s="145"/>
      <c r="AZ299" s="145"/>
      <c r="BA299" s="145"/>
      <c r="BB299" s="145"/>
      <c r="BC299" s="145"/>
      <c r="BD299" s="145"/>
    </row>
    <row r="300" spans="1:56" ht="18.75" customHeight="1" x14ac:dyDescent="0.55000000000000004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C300" s="145"/>
      <c r="AD300" s="145"/>
      <c r="AE300" s="145"/>
      <c r="AF300" s="145"/>
      <c r="AG300" s="145"/>
      <c r="AH300" s="145"/>
      <c r="AI300" s="145"/>
      <c r="AJ300" s="145"/>
      <c r="AK300" s="145"/>
      <c r="AL300" s="145"/>
      <c r="AM300" s="145"/>
      <c r="AN300" s="145"/>
      <c r="AO300" s="145"/>
      <c r="AP300" s="145"/>
      <c r="AQ300" s="145"/>
      <c r="AR300" s="145"/>
      <c r="AS300" s="145"/>
      <c r="AT300" s="146"/>
      <c r="AU300" s="146"/>
      <c r="AV300" s="145"/>
      <c r="AW300" s="145"/>
      <c r="AX300" s="145"/>
      <c r="AY300" s="145"/>
      <c r="AZ300" s="145"/>
      <c r="BA300" s="145"/>
      <c r="BB300" s="145"/>
      <c r="BC300" s="145"/>
      <c r="BD300" s="145"/>
    </row>
    <row r="301" spans="1:56" ht="18.75" customHeight="1" x14ac:dyDescent="0.55000000000000004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  <c r="AC301" s="145"/>
      <c r="AD301" s="145"/>
      <c r="AE301" s="145"/>
      <c r="AF301" s="145"/>
      <c r="AG301" s="145"/>
      <c r="AH301" s="145"/>
      <c r="AI301" s="145"/>
      <c r="AJ301" s="145"/>
      <c r="AK301" s="145"/>
      <c r="AL301" s="145"/>
      <c r="AM301" s="145"/>
      <c r="AN301" s="145"/>
      <c r="AO301" s="145"/>
      <c r="AP301" s="145"/>
      <c r="AQ301" s="145"/>
      <c r="AR301" s="145"/>
      <c r="AS301" s="145"/>
      <c r="AT301" s="146"/>
      <c r="AU301" s="146"/>
      <c r="AV301" s="145"/>
      <c r="AW301" s="145"/>
      <c r="AX301" s="145"/>
      <c r="AY301" s="145"/>
      <c r="AZ301" s="145"/>
      <c r="BA301" s="145"/>
      <c r="BB301" s="145"/>
      <c r="BC301" s="145"/>
      <c r="BD301" s="145"/>
    </row>
    <row r="302" spans="1:56" ht="18.75" customHeight="1" x14ac:dyDescent="0.55000000000000004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  <c r="AC302" s="145"/>
      <c r="AD302" s="145"/>
      <c r="AE302" s="145"/>
      <c r="AF302" s="145"/>
      <c r="AG302" s="145"/>
      <c r="AH302" s="145"/>
      <c r="AI302" s="145"/>
      <c r="AJ302" s="145"/>
      <c r="AK302" s="145"/>
      <c r="AL302" s="145"/>
      <c r="AM302" s="145"/>
      <c r="AN302" s="145"/>
      <c r="AO302" s="145"/>
      <c r="AP302" s="145"/>
      <c r="AQ302" s="145"/>
      <c r="AR302" s="145"/>
      <c r="AS302" s="145"/>
      <c r="AT302" s="146"/>
      <c r="AU302" s="146"/>
      <c r="AV302" s="145"/>
      <c r="AW302" s="145"/>
      <c r="AX302" s="145"/>
      <c r="AY302" s="145"/>
      <c r="AZ302" s="145"/>
      <c r="BA302" s="145"/>
      <c r="BB302" s="145"/>
      <c r="BC302" s="145"/>
      <c r="BD302" s="145"/>
    </row>
    <row r="303" spans="1:56" ht="18.75" customHeight="1" x14ac:dyDescent="0.55000000000000004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  <c r="AC303" s="145"/>
      <c r="AD303" s="145"/>
      <c r="AE303" s="145"/>
      <c r="AF303" s="145"/>
      <c r="AG303" s="145"/>
      <c r="AH303" s="145"/>
      <c r="AI303" s="145"/>
      <c r="AJ303" s="145"/>
      <c r="AK303" s="145"/>
      <c r="AL303" s="145"/>
      <c r="AM303" s="145"/>
      <c r="AN303" s="145"/>
      <c r="AO303" s="145"/>
      <c r="AP303" s="145"/>
      <c r="AQ303" s="145"/>
      <c r="AR303" s="145"/>
      <c r="AS303" s="145"/>
      <c r="AT303" s="146"/>
      <c r="AU303" s="146"/>
      <c r="AV303" s="145"/>
      <c r="AW303" s="145"/>
      <c r="AX303" s="145"/>
      <c r="AY303" s="145"/>
      <c r="AZ303" s="145"/>
      <c r="BA303" s="145"/>
      <c r="BB303" s="145"/>
      <c r="BC303" s="145"/>
      <c r="BD303" s="145"/>
    </row>
    <row r="304" spans="1:56" ht="18.75" customHeight="1" x14ac:dyDescent="0.55000000000000004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  <c r="AC304" s="145"/>
      <c r="AD304" s="145"/>
      <c r="AE304" s="145"/>
      <c r="AF304" s="145"/>
      <c r="AG304" s="145"/>
      <c r="AH304" s="145"/>
      <c r="AI304" s="145"/>
      <c r="AJ304" s="145"/>
      <c r="AK304" s="145"/>
      <c r="AL304" s="145"/>
      <c r="AM304" s="145"/>
      <c r="AN304" s="145"/>
      <c r="AO304" s="145"/>
      <c r="AP304" s="145"/>
      <c r="AQ304" s="145"/>
      <c r="AR304" s="145"/>
      <c r="AS304" s="145"/>
      <c r="AT304" s="146"/>
      <c r="AU304" s="146"/>
      <c r="AV304" s="145"/>
      <c r="AW304" s="145"/>
      <c r="AX304" s="145"/>
      <c r="AY304" s="145"/>
      <c r="AZ304" s="145"/>
      <c r="BA304" s="145"/>
      <c r="BB304" s="145"/>
      <c r="BC304" s="145"/>
      <c r="BD304" s="145"/>
    </row>
    <row r="305" spans="1:56" ht="18.75" customHeight="1" x14ac:dyDescent="0.55000000000000004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  <c r="AC305" s="145"/>
      <c r="AD305" s="145"/>
      <c r="AE305" s="145"/>
      <c r="AF305" s="145"/>
      <c r="AG305" s="145"/>
      <c r="AH305" s="145"/>
      <c r="AI305" s="145"/>
      <c r="AJ305" s="145"/>
      <c r="AK305" s="145"/>
      <c r="AL305" s="145"/>
      <c r="AM305" s="145"/>
      <c r="AN305" s="145"/>
      <c r="AO305" s="145"/>
      <c r="AP305" s="145"/>
      <c r="AQ305" s="145"/>
      <c r="AR305" s="145"/>
      <c r="AS305" s="145"/>
      <c r="AT305" s="146"/>
      <c r="AU305" s="146"/>
      <c r="AV305" s="145"/>
      <c r="AW305" s="145"/>
      <c r="AX305" s="145"/>
      <c r="AY305" s="145"/>
      <c r="AZ305" s="145"/>
      <c r="BA305" s="145"/>
      <c r="BB305" s="145"/>
      <c r="BC305" s="145"/>
      <c r="BD305" s="145"/>
    </row>
    <row r="306" spans="1:56" ht="18.75" customHeight="1" x14ac:dyDescent="0.55000000000000004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  <c r="AC306" s="145"/>
      <c r="AD306" s="145"/>
      <c r="AE306" s="145"/>
      <c r="AF306" s="145"/>
      <c r="AG306" s="145"/>
      <c r="AH306" s="145"/>
      <c r="AI306" s="145"/>
      <c r="AJ306" s="145"/>
      <c r="AK306" s="145"/>
      <c r="AL306" s="145"/>
      <c r="AM306" s="145"/>
      <c r="AN306" s="145"/>
      <c r="AO306" s="145"/>
      <c r="AP306" s="145"/>
      <c r="AQ306" s="145"/>
      <c r="AR306" s="145"/>
      <c r="AS306" s="145"/>
      <c r="AT306" s="146"/>
      <c r="AU306" s="146"/>
      <c r="AV306" s="145"/>
      <c r="AW306" s="145"/>
      <c r="AX306" s="145"/>
      <c r="AY306" s="145"/>
      <c r="AZ306" s="145"/>
      <c r="BA306" s="145"/>
      <c r="BB306" s="145"/>
      <c r="BC306" s="145"/>
      <c r="BD306" s="145"/>
    </row>
    <row r="307" spans="1:56" ht="18.75" customHeight="1" x14ac:dyDescent="0.55000000000000004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  <c r="AC307" s="145"/>
      <c r="AD307" s="145"/>
      <c r="AE307" s="145"/>
      <c r="AF307" s="145"/>
      <c r="AG307" s="145"/>
      <c r="AH307" s="145"/>
      <c r="AI307" s="145"/>
      <c r="AJ307" s="145"/>
      <c r="AK307" s="145"/>
      <c r="AL307" s="145"/>
      <c r="AM307" s="145"/>
      <c r="AN307" s="145"/>
      <c r="AO307" s="145"/>
      <c r="AP307" s="145"/>
      <c r="AQ307" s="145"/>
      <c r="AR307" s="145"/>
      <c r="AS307" s="145"/>
      <c r="AT307" s="146"/>
      <c r="AU307" s="146"/>
      <c r="AV307" s="145"/>
      <c r="AW307" s="145"/>
      <c r="AX307" s="145"/>
      <c r="AY307" s="145"/>
      <c r="AZ307" s="145"/>
      <c r="BA307" s="145"/>
      <c r="BB307" s="145"/>
      <c r="BC307" s="145"/>
      <c r="BD307" s="145"/>
    </row>
    <row r="308" spans="1:56" ht="18.75" customHeight="1" x14ac:dyDescent="0.55000000000000004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  <c r="AC308" s="145"/>
      <c r="AD308" s="145"/>
      <c r="AE308" s="145"/>
      <c r="AF308" s="145"/>
      <c r="AG308" s="145"/>
      <c r="AH308" s="145"/>
      <c r="AI308" s="145"/>
      <c r="AJ308" s="145"/>
      <c r="AK308" s="145"/>
      <c r="AL308" s="145"/>
      <c r="AM308" s="145"/>
      <c r="AN308" s="145"/>
      <c r="AO308" s="145"/>
      <c r="AP308" s="145"/>
      <c r="AQ308" s="145"/>
      <c r="AR308" s="145"/>
      <c r="AS308" s="145"/>
      <c r="AT308" s="146"/>
      <c r="AU308" s="146"/>
      <c r="AV308" s="145"/>
      <c r="AW308" s="145"/>
      <c r="AX308" s="145"/>
      <c r="AY308" s="145"/>
      <c r="AZ308" s="145"/>
      <c r="BA308" s="145"/>
      <c r="BB308" s="145"/>
      <c r="BC308" s="145"/>
      <c r="BD308" s="145"/>
    </row>
    <row r="309" spans="1:56" ht="18.75" customHeight="1" x14ac:dyDescent="0.55000000000000004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  <c r="AC309" s="145"/>
      <c r="AD309" s="145"/>
      <c r="AE309" s="145"/>
      <c r="AF309" s="145"/>
      <c r="AG309" s="145"/>
      <c r="AH309" s="145"/>
      <c r="AI309" s="145"/>
      <c r="AJ309" s="145"/>
      <c r="AK309" s="145"/>
      <c r="AL309" s="145"/>
      <c r="AM309" s="145"/>
      <c r="AN309" s="145"/>
      <c r="AO309" s="145"/>
      <c r="AP309" s="145"/>
      <c r="AQ309" s="145"/>
      <c r="AR309" s="145"/>
      <c r="AS309" s="145"/>
      <c r="AT309" s="146"/>
      <c r="AU309" s="146"/>
      <c r="AV309" s="145"/>
      <c r="AW309" s="145"/>
      <c r="AX309" s="145"/>
      <c r="AY309" s="145"/>
      <c r="AZ309" s="145"/>
      <c r="BA309" s="145"/>
      <c r="BB309" s="145"/>
      <c r="BC309" s="145"/>
      <c r="BD309" s="145"/>
    </row>
    <row r="310" spans="1:56" ht="18.75" customHeight="1" x14ac:dyDescent="0.55000000000000004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  <c r="AC310" s="145"/>
      <c r="AD310" s="145"/>
      <c r="AE310" s="145"/>
      <c r="AF310" s="145"/>
      <c r="AG310" s="145"/>
      <c r="AH310" s="145"/>
      <c r="AI310" s="145"/>
      <c r="AJ310" s="145"/>
      <c r="AK310" s="145"/>
      <c r="AL310" s="145"/>
      <c r="AM310" s="145"/>
      <c r="AN310" s="145"/>
      <c r="AO310" s="145"/>
      <c r="AP310" s="145"/>
      <c r="AQ310" s="145"/>
      <c r="AR310" s="145"/>
      <c r="AS310" s="145"/>
      <c r="AT310" s="146"/>
      <c r="AU310" s="146"/>
      <c r="AV310" s="145"/>
      <c r="AW310" s="145"/>
      <c r="AX310" s="145"/>
      <c r="AY310" s="145"/>
      <c r="AZ310" s="145"/>
      <c r="BA310" s="145"/>
      <c r="BB310" s="145"/>
      <c r="BC310" s="145"/>
      <c r="BD310" s="145"/>
    </row>
    <row r="311" spans="1:56" ht="18.75" customHeight="1" x14ac:dyDescent="0.55000000000000004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  <c r="AC311" s="145"/>
      <c r="AD311" s="145"/>
      <c r="AE311" s="145"/>
      <c r="AF311" s="145"/>
      <c r="AG311" s="145"/>
      <c r="AH311" s="145"/>
      <c r="AI311" s="145"/>
      <c r="AJ311" s="145"/>
      <c r="AK311" s="145"/>
      <c r="AL311" s="145"/>
      <c r="AM311" s="145"/>
      <c r="AN311" s="145"/>
      <c r="AO311" s="145"/>
      <c r="AP311" s="145"/>
      <c r="AQ311" s="145"/>
      <c r="AR311" s="145"/>
      <c r="AS311" s="145"/>
      <c r="AT311" s="146"/>
      <c r="AU311" s="146"/>
      <c r="AV311" s="145"/>
      <c r="AW311" s="145"/>
      <c r="AX311" s="145"/>
      <c r="AY311" s="145"/>
      <c r="AZ311" s="145"/>
      <c r="BA311" s="145"/>
      <c r="BB311" s="145"/>
      <c r="BC311" s="145"/>
      <c r="BD311" s="145"/>
    </row>
    <row r="312" spans="1:56" ht="18.75" customHeight="1" x14ac:dyDescent="0.55000000000000004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  <c r="AC312" s="145"/>
      <c r="AD312" s="145"/>
      <c r="AE312" s="145"/>
      <c r="AF312" s="145"/>
      <c r="AG312" s="145"/>
      <c r="AH312" s="145"/>
      <c r="AI312" s="145"/>
      <c r="AJ312" s="145"/>
      <c r="AK312" s="145"/>
      <c r="AL312" s="145"/>
      <c r="AM312" s="145"/>
      <c r="AN312" s="145"/>
      <c r="AO312" s="145"/>
      <c r="AP312" s="145"/>
      <c r="AQ312" s="145"/>
      <c r="AR312" s="145"/>
      <c r="AS312" s="145"/>
      <c r="AT312" s="146"/>
      <c r="AU312" s="146"/>
      <c r="AV312" s="145"/>
      <c r="AW312" s="145"/>
      <c r="AX312" s="145"/>
      <c r="AY312" s="145"/>
      <c r="AZ312" s="145"/>
      <c r="BA312" s="145"/>
      <c r="BB312" s="145"/>
      <c r="BC312" s="145"/>
      <c r="BD312" s="145"/>
    </row>
    <row r="313" spans="1:56" ht="18.75" customHeight="1" x14ac:dyDescent="0.55000000000000004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  <c r="AC313" s="145"/>
      <c r="AD313" s="145"/>
      <c r="AE313" s="145"/>
      <c r="AF313" s="145"/>
      <c r="AG313" s="145"/>
      <c r="AH313" s="145"/>
      <c r="AI313" s="145"/>
      <c r="AJ313" s="145"/>
      <c r="AK313" s="145"/>
      <c r="AL313" s="145"/>
      <c r="AM313" s="145"/>
      <c r="AN313" s="145"/>
      <c r="AO313" s="145"/>
      <c r="AP313" s="145"/>
      <c r="AQ313" s="145"/>
      <c r="AR313" s="145"/>
      <c r="AS313" s="145"/>
      <c r="AT313" s="146"/>
      <c r="AU313" s="146"/>
      <c r="AV313" s="145"/>
      <c r="AW313" s="145"/>
      <c r="AX313" s="145"/>
      <c r="AY313" s="145"/>
      <c r="AZ313" s="145"/>
      <c r="BA313" s="145"/>
      <c r="BB313" s="145"/>
      <c r="BC313" s="145"/>
      <c r="BD313" s="145"/>
    </row>
    <row r="314" spans="1:56" ht="18.75" customHeight="1" x14ac:dyDescent="0.55000000000000004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  <c r="AC314" s="145"/>
      <c r="AD314" s="145"/>
      <c r="AE314" s="145"/>
      <c r="AF314" s="145"/>
      <c r="AG314" s="145"/>
      <c r="AH314" s="145"/>
      <c r="AI314" s="145"/>
      <c r="AJ314" s="145"/>
      <c r="AK314" s="145"/>
      <c r="AL314" s="145"/>
      <c r="AM314" s="145"/>
      <c r="AN314" s="145"/>
      <c r="AO314" s="145"/>
      <c r="AP314" s="145"/>
      <c r="AQ314" s="145"/>
      <c r="AR314" s="145"/>
      <c r="AS314" s="145"/>
      <c r="AT314" s="146"/>
      <c r="AU314" s="146"/>
      <c r="AV314" s="145"/>
      <c r="AW314" s="145"/>
      <c r="AX314" s="145"/>
      <c r="AY314" s="145"/>
      <c r="AZ314" s="145"/>
      <c r="BA314" s="145"/>
      <c r="BB314" s="145"/>
      <c r="BC314" s="145"/>
      <c r="BD314" s="145"/>
    </row>
    <row r="315" spans="1:56" ht="18.75" customHeight="1" x14ac:dyDescent="0.55000000000000004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  <c r="AC315" s="145"/>
      <c r="AD315" s="145"/>
      <c r="AE315" s="145"/>
      <c r="AF315" s="145"/>
      <c r="AG315" s="145"/>
      <c r="AH315" s="145"/>
      <c r="AI315" s="145"/>
      <c r="AJ315" s="145"/>
      <c r="AK315" s="145"/>
      <c r="AL315" s="145"/>
      <c r="AM315" s="145"/>
      <c r="AN315" s="145"/>
      <c r="AO315" s="145"/>
      <c r="AP315" s="145"/>
      <c r="AQ315" s="145"/>
      <c r="AR315" s="145"/>
      <c r="AS315" s="145"/>
      <c r="AT315" s="146"/>
      <c r="AU315" s="146"/>
      <c r="AV315" s="145"/>
      <c r="AW315" s="145"/>
      <c r="AX315" s="145"/>
      <c r="AY315" s="145"/>
      <c r="AZ315" s="145"/>
      <c r="BA315" s="145"/>
      <c r="BB315" s="145"/>
      <c r="BC315" s="145"/>
      <c r="BD315" s="145"/>
    </row>
    <row r="316" spans="1:56" ht="18.75" customHeight="1" x14ac:dyDescent="0.55000000000000004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  <c r="AC316" s="145"/>
      <c r="AD316" s="145"/>
      <c r="AE316" s="145"/>
      <c r="AF316" s="145"/>
      <c r="AG316" s="145"/>
      <c r="AH316" s="145"/>
      <c r="AI316" s="145"/>
      <c r="AJ316" s="145"/>
      <c r="AK316" s="145"/>
      <c r="AL316" s="145"/>
      <c r="AM316" s="145"/>
      <c r="AN316" s="145"/>
      <c r="AO316" s="145"/>
      <c r="AP316" s="145"/>
      <c r="AQ316" s="145"/>
      <c r="AR316" s="145"/>
      <c r="AS316" s="145"/>
      <c r="AT316" s="146"/>
      <c r="AU316" s="146"/>
      <c r="AV316" s="145"/>
      <c r="AW316" s="145"/>
      <c r="AX316" s="145"/>
      <c r="AY316" s="145"/>
      <c r="AZ316" s="145"/>
      <c r="BA316" s="145"/>
      <c r="BB316" s="145"/>
      <c r="BC316" s="145"/>
      <c r="BD316" s="145"/>
    </row>
    <row r="317" spans="1:56" ht="18.75" customHeight="1" x14ac:dyDescent="0.55000000000000004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  <c r="AC317" s="145"/>
      <c r="AD317" s="145"/>
      <c r="AE317" s="145"/>
      <c r="AF317" s="145"/>
      <c r="AG317" s="145"/>
      <c r="AH317" s="145"/>
      <c r="AI317" s="145"/>
      <c r="AJ317" s="145"/>
      <c r="AK317" s="145"/>
      <c r="AL317" s="145"/>
      <c r="AM317" s="145"/>
      <c r="AN317" s="145"/>
      <c r="AO317" s="145"/>
      <c r="AP317" s="145"/>
      <c r="AQ317" s="145"/>
      <c r="AR317" s="145"/>
      <c r="AS317" s="145"/>
      <c r="AT317" s="146"/>
      <c r="AU317" s="146"/>
      <c r="AV317" s="145"/>
      <c r="AW317" s="145"/>
      <c r="AX317" s="145"/>
      <c r="AY317" s="145"/>
      <c r="AZ317" s="145"/>
      <c r="BA317" s="145"/>
      <c r="BB317" s="145"/>
      <c r="BC317" s="145"/>
      <c r="BD317" s="145"/>
    </row>
    <row r="318" spans="1:56" ht="18.75" customHeight="1" x14ac:dyDescent="0.55000000000000004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  <c r="AC318" s="145"/>
      <c r="AD318" s="145"/>
      <c r="AE318" s="145"/>
      <c r="AF318" s="145"/>
      <c r="AG318" s="145"/>
      <c r="AH318" s="145"/>
      <c r="AI318" s="145"/>
      <c r="AJ318" s="145"/>
      <c r="AK318" s="145"/>
      <c r="AL318" s="145"/>
      <c r="AM318" s="145"/>
      <c r="AN318" s="145"/>
      <c r="AO318" s="145"/>
      <c r="AP318" s="145"/>
      <c r="AQ318" s="145"/>
      <c r="AR318" s="145"/>
      <c r="AS318" s="145"/>
      <c r="AT318" s="146"/>
      <c r="AU318" s="146"/>
      <c r="AV318" s="145"/>
      <c r="AW318" s="145"/>
      <c r="AX318" s="145"/>
      <c r="AY318" s="145"/>
      <c r="AZ318" s="145"/>
      <c r="BA318" s="145"/>
      <c r="BB318" s="145"/>
      <c r="BC318" s="145"/>
      <c r="BD318" s="145"/>
    </row>
    <row r="319" spans="1:56" ht="18.75" customHeight="1" x14ac:dyDescent="0.55000000000000004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  <c r="AC319" s="145"/>
      <c r="AD319" s="145"/>
      <c r="AE319" s="145"/>
      <c r="AF319" s="145"/>
      <c r="AG319" s="145"/>
      <c r="AH319" s="145"/>
      <c r="AI319" s="145"/>
      <c r="AJ319" s="145"/>
      <c r="AK319" s="145"/>
      <c r="AL319" s="145"/>
      <c r="AM319" s="145"/>
      <c r="AN319" s="145"/>
      <c r="AO319" s="145"/>
      <c r="AP319" s="145"/>
      <c r="AQ319" s="145"/>
      <c r="AR319" s="145"/>
      <c r="AS319" s="145"/>
      <c r="AT319" s="146"/>
      <c r="AU319" s="146"/>
      <c r="AV319" s="145"/>
      <c r="AW319" s="145"/>
      <c r="AX319" s="145"/>
      <c r="AY319" s="145"/>
      <c r="AZ319" s="145"/>
      <c r="BA319" s="145"/>
      <c r="BB319" s="145"/>
      <c r="BC319" s="145"/>
      <c r="BD319" s="145"/>
    </row>
    <row r="320" spans="1:56" ht="18.75" customHeight="1" x14ac:dyDescent="0.55000000000000004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  <c r="AE320" s="145"/>
      <c r="AF320" s="145"/>
      <c r="AG320" s="145"/>
      <c r="AH320" s="145"/>
      <c r="AI320" s="145"/>
      <c r="AJ320" s="145"/>
      <c r="AK320" s="145"/>
      <c r="AL320" s="145"/>
      <c r="AM320" s="145"/>
      <c r="AN320" s="145"/>
      <c r="AO320" s="145"/>
      <c r="AP320" s="145"/>
      <c r="AQ320" s="145"/>
      <c r="AR320" s="145"/>
      <c r="AS320" s="145"/>
      <c r="AT320" s="146"/>
      <c r="AU320" s="146"/>
      <c r="AV320" s="145"/>
      <c r="AW320" s="145"/>
      <c r="AX320" s="145"/>
      <c r="AY320" s="145"/>
      <c r="AZ320" s="145"/>
      <c r="BA320" s="145"/>
      <c r="BB320" s="145"/>
      <c r="BC320" s="145"/>
      <c r="BD320" s="145"/>
    </row>
    <row r="321" spans="1:56" ht="18.75" customHeight="1" x14ac:dyDescent="0.55000000000000004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145"/>
      <c r="AE321" s="145"/>
      <c r="AF321" s="145"/>
      <c r="AG321" s="145"/>
      <c r="AH321" s="145"/>
      <c r="AI321" s="145"/>
      <c r="AJ321" s="145"/>
      <c r="AK321" s="145"/>
      <c r="AL321" s="145"/>
      <c r="AM321" s="145"/>
      <c r="AN321" s="145"/>
      <c r="AO321" s="145"/>
      <c r="AP321" s="145"/>
      <c r="AQ321" s="145"/>
      <c r="AR321" s="145"/>
      <c r="AS321" s="145"/>
      <c r="AT321" s="146"/>
      <c r="AU321" s="146"/>
      <c r="AV321" s="145"/>
      <c r="AW321" s="145"/>
      <c r="AX321" s="145"/>
      <c r="AY321" s="145"/>
      <c r="AZ321" s="145"/>
      <c r="BA321" s="145"/>
      <c r="BB321" s="145"/>
      <c r="BC321" s="145"/>
      <c r="BD321" s="145"/>
    </row>
    <row r="322" spans="1:56" ht="18.75" customHeight="1" x14ac:dyDescent="0.55000000000000004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145"/>
      <c r="AE322" s="145"/>
      <c r="AF322" s="145"/>
      <c r="AG322" s="145"/>
      <c r="AH322" s="145"/>
      <c r="AI322" s="145"/>
      <c r="AJ322" s="145"/>
      <c r="AK322" s="145"/>
      <c r="AL322" s="145"/>
      <c r="AM322" s="145"/>
      <c r="AN322" s="145"/>
      <c r="AO322" s="145"/>
      <c r="AP322" s="145"/>
      <c r="AQ322" s="145"/>
      <c r="AR322" s="145"/>
      <c r="AS322" s="145"/>
      <c r="AT322" s="146"/>
      <c r="AU322" s="146"/>
      <c r="AV322" s="145"/>
      <c r="AW322" s="145"/>
      <c r="AX322" s="145"/>
      <c r="AY322" s="145"/>
      <c r="AZ322" s="145"/>
      <c r="BA322" s="145"/>
      <c r="BB322" s="145"/>
      <c r="BC322" s="145"/>
      <c r="BD322" s="145"/>
    </row>
    <row r="323" spans="1:56" ht="18.75" customHeight="1" x14ac:dyDescent="0.55000000000000004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  <c r="AE323" s="145"/>
      <c r="AF323" s="145"/>
      <c r="AG323" s="145"/>
      <c r="AH323" s="145"/>
      <c r="AI323" s="145"/>
      <c r="AJ323" s="145"/>
      <c r="AK323" s="145"/>
      <c r="AL323" s="145"/>
      <c r="AM323" s="145"/>
      <c r="AN323" s="145"/>
      <c r="AO323" s="145"/>
      <c r="AP323" s="145"/>
      <c r="AQ323" s="145"/>
      <c r="AR323" s="145"/>
      <c r="AS323" s="145"/>
      <c r="AT323" s="146"/>
      <c r="AU323" s="146"/>
      <c r="AV323" s="145"/>
      <c r="AW323" s="145"/>
      <c r="AX323" s="145"/>
      <c r="AY323" s="145"/>
      <c r="AZ323" s="145"/>
      <c r="BA323" s="145"/>
      <c r="BB323" s="145"/>
      <c r="BC323" s="145"/>
      <c r="BD323" s="145"/>
    </row>
    <row r="324" spans="1:56" ht="18.75" customHeight="1" x14ac:dyDescent="0.55000000000000004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  <c r="AC324" s="145"/>
      <c r="AD324" s="145"/>
      <c r="AE324" s="145"/>
      <c r="AF324" s="145"/>
      <c r="AG324" s="145"/>
      <c r="AH324" s="145"/>
      <c r="AI324" s="145"/>
      <c r="AJ324" s="145"/>
      <c r="AK324" s="145"/>
      <c r="AL324" s="145"/>
      <c r="AM324" s="145"/>
      <c r="AN324" s="145"/>
      <c r="AO324" s="145"/>
      <c r="AP324" s="145"/>
      <c r="AQ324" s="145"/>
      <c r="AR324" s="145"/>
      <c r="AS324" s="145"/>
      <c r="AT324" s="146"/>
      <c r="AU324" s="146"/>
      <c r="AV324" s="145"/>
      <c r="AW324" s="145"/>
      <c r="AX324" s="145"/>
      <c r="AY324" s="145"/>
      <c r="AZ324" s="145"/>
      <c r="BA324" s="145"/>
      <c r="BB324" s="145"/>
      <c r="BC324" s="145"/>
      <c r="BD324" s="145"/>
    </row>
    <row r="325" spans="1:56" ht="18.75" customHeight="1" x14ac:dyDescent="0.55000000000000004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145"/>
      <c r="AE325" s="145"/>
      <c r="AF325" s="145"/>
      <c r="AG325" s="145"/>
      <c r="AH325" s="145"/>
      <c r="AI325" s="145"/>
      <c r="AJ325" s="145"/>
      <c r="AK325" s="145"/>
      <c r="AL325" s="145"/>
      <c r="AM325" s="145"/>
      <c r="AN325" s="145"/>
      <c r="AO325" s="145"/>
      <c r="AP325" s="145"/>
      <c r="AQ325" s="145"/>
      <c r="AR325" s="145"/>
      <c r="AS325" s="145"/>
      <c r="AT325" s="146"/>
      <c r="AU325" s="146"/>
      <c r="AV325" s="145"/>
      <c r="AW325" s="145"/>
      <c r="AX325" s="145"/>
      <c r="AY325" s="145"/>
      <c r="AZ325" s="145"/>
      <c r="BA325" s="145"/>
      <c r="BB325" s="145"/>
      <c r="BC325" s="145"/>
      <c r="BD325" s="145"/>
    </row>
    <row r="326" spans="1:56" ht="18.75" customHeight="1" x14ac:dyDescent="0.55000000000000004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  <c r="AC326" s="145"/>
      <c r="AD326" s="145"/>
      <c r="AE326" s="145"/>
      <c r="AF326" s="145"/>
      <c r="AG326" s="145"/>
      <c r="AH326" s="145"/>
      <c r="AI326" s="145"/>
      <c r="AJ326" s="145"/>
      <c r="AK326" s="145"/>
      <c r="AL326" s="145"/>
      <c r="AM326" s="145"/>
      <c r="AN326" s="145"/>
      <c r="AO326" s="145"/>
      <c r="AP326" s="145"/>
      <c r="AQ326" s="145"/>
      <c r="AR326" s="145"/>
      <c r="AS326" s="145"/>
      <c r="AT326" s="146"/>
      <c r="AU326" s="146"/>
      <c r="AV326" s="145"/>
      <c r="AW326" s="145"/>
      <c r="AX326" s="145"/>
      <c r="AY326" s="145"/>
      <c r="AZ326" s="145"/>
      <c r="BA326" s="145"/>
      <c r="BB326" s="145"/>
      <c r="BC326" s="145"/>
      <c r="BD326" s="145"/>
    </row>
    <row r="327" spans="1:56" ht="18.75" customHeight="1" x14ac:dyDescent="0.55000000000000004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145"/>
      <c r="AE327" s="145"/>
      <c r="AF327" s="145"/>
      <c r="AG327" s="145"/>
      <c r="AH327" s="145"/>
      <c r="AI327" s="145"/>
      <c r="AJ327" s="145"/>
      <c r="AK327" s="145"/>
      <c r="AL327" s="145"/>
      <c r="AM327" s="145"/>
      <c r="AN327" s="145"/>
      <c r="AO327" s="145"/>
      <c r="AP327" s="145"/>
      <c r="AQ327" s="145"/>
      <c r="AR327" s="145"/>
      <c r="AS327" s="145"/>
      <c r="AT327" s="146"/>
      <c r="AU327" s="146"/>
      <c r="AV327" s="145"/>
      <c r="AW327" s="145"/>
      <c r="AX327" s="145"/>
      <c r="AY327" s="145"/>
      <c r="AZ327" s="145"/>
      <c r="BA327" s="145"/>
      <c r="BB327" s="145"/>
      <c r="BC327" s="145"/>
      <c r="BD327" s="145"/>
    </row>
    <row r="328" spans="1:56" ht="18.75" customHeight="1" x14ac:dyDescent="0.55000000000000004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145"/>
      <c r="AE328" s="145"/>
      <c r="AF328" s="145"/>
      <c r="AG328" s="145"/>
      <c r="AH328" s="145"/>
      <c r="AI328" s="145"/>
      <c r="AJ328" s="145"/>
      <c r="AK328" s="145"/>
      <c r="AL328" s="145"/>
      <c r="AM328" s="145"/>
      <c r="AN328" s="145"/>
      <c r="AO328" s="145"/>
      <c r="AP328" s="145"/>
      <c r="AQ328" s="145"/>
      <c r="AR328" s="145"/>
      <c r="AS328" s="145"/>
      <c r="AT328" s="146"/>
      <c r="AU328" s="146"/>
      <c r="AV328" s="145"/>
      <c r="AW328" s="145"/>
      <c r="AX328" s="145"/>
      <c r="AY328" s="145"/>
      <c r="AZ328" s="145"/>
      <c r="BA328" s="145"/>
      <c r="BB328" s="145"/>
      <c r="BC328" s="145"/>
      <c r="BD328" s="145"/>
    </row>
    <row r="329" spans="1:56" ht="18.75" customHeight="1" x14ac:dyDescent="0.55000000000000004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145"/>
      <c r="AE329" s="145"/>
      <c r="AF329" s="145"/>
      <c r="AG329" s="145"/>
      <c r="AH329" s="145"/>
      <c r="AI329" s="145"/>
      <c r="AJ329" s="145"/>
      <c r="AK329" s="145"/>
      <c r="AL329" s="145"/>
      <c r="AM329" s="145"/>
      <c r="AN329" s="145"/>
      <c r="AO329" s="145"/>
      <c r="AP329" s="145"/>
      <c r="AQ329" s="145"/>
      <c r="AR329" s="145"/>
      <c r="AS329" s="145"/>
      <c r="AT329" s="146"/>
      <c r="AU329" s="146"/>
      <c r="AV329" s="145"/>
      <c r="AW329" s="145"/>
      <c r="AX329" s="145"/>
      <c r="AY329" s="145"/>
      <c r="AZ329" s="145"/>
      <c r="BA329" s="145"/>
      <c r="BB329" s="145"/>
      <c r="BC329" s="145"/>
      <c r="BD329" s="145"/>
    </row>
    <row r="330" spans="1:56" ht="18.75" customHeight="1" x14ac:dyDescent="0.55000000000000004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  <c r="AE330" s="145"/>
      <c r="AF330" s="145"/>
      <c r="AG330" s="145"/>
      <c r="AH330" s="145"/>
      <c r="AI330" s="145"/>
      <c r="AJ330" s="145"/>
      <c r="AK330" s="145"/>
      <c r="AL330" s="145"/>
      <c r="AM330" s="145"/>
      <c r="AN330" s="145"/>
      <c r="AO330" s="145"/>
      <c r="AP330" s="145"/>
      <c r="AQ330" s="145"/>
      <c r="AR330" s="145"/>
      <c r="AS330" s="145"/>
      <c r="AT330" s="146"/>
      <c r="AU330" s="146"/>
      <c r="AV330" s="145"/>
      <c r="AW330" s="145"/>
      <c r="AX330" s="145"/>
      <c r="AY330" s="145"/>
      <c r="AZ330" s="145"/>
      <c r="BA330" s="145"/>
      <c r="BB330" s="145"/>
      <c r="BC330" s="145"/>
      <c r="BD330" s="145"/>
    </row>
    <row r="331" spans="1:56" ht="18.75" customHeight="1" x14ac:dyDescent="0.55000000000000004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145"/>
      <c r="AE331" s="145"/>
      <c r="AF331" s="145"/>
      <c r="AG331" s="145"/>
      <c r="AH331" s="145"/>
      <c r="AI331" s="145"/>
      <c r="AJ331" s="145"/>
      <c r="AK331" s="145"/>
      <c r="AL331" s="145"/>
      <c r="AM331" s="145"/>
      <c r="AN331" s="145"/>
      <c r="AO331" s="145"/>
      <c r="AP331" s="145"/>
      <c r="AQ331" s="145"/>
      <c r="AR331" s="145"/>
      <c r="AS331" s="145"/>
      <c r="AT331" s="146"/>
      <c r="AU331" s="146"/>
      <c r="AV331" s="145"/>
      <c r="AW331" s="145"/>
      <c r="AX331" s="145"/>
      <c r="AY331" s="145"/>
      <c r="AZ331" s="145"/>
      <c r="BA331" s="145"/>
      <c r="BB331" s="145"/>
      <c r="BC331" s="145"/>
      <c r="BD331" s="145"/>
    </row>
    <row r="332" spans="1:56" ht="18.75" customHeight="1" x14ac:dyDescent="0.55000000000000004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145"/>
      <c r="AE332" s="145"/>
      <c r="AF332" s="145"/>
      <c r="AG332" s="145"/>
      <c r="AH332" s="145"/>
      <c r="AI332" s="145"/>
      <c r="AJ332" s="145"/>
      <c r="AK332" s="145"/>
      <c r="AL332" s="145"/>
      <c r="AM332" s="145"/>
      <c r="AN332" s="145"/>
      <c r="AO332" s="145"/>
      <c r="AP332" s="145"/>
      <c r="AQ332" s="145"/>
      <c r="AR332" s="145"/>
      <c r="AS332" s="145"/>
      <c r="AT332" s="146"/>
      <c r="AU332" s="146"/>
      <c r="AV332" s="145"/>
      <c r="AW332" s="145"/>
      <c r="AX332" s="145"/>
      <c r="AY332" s="145"/>
      <c r="AZ332" s="145"/>
      <c r="BA332" s="145"/>
      <c r="BB332" s="145"/>
      <c r="BC332" s="145"/>
      <c r="BD332" s="145"/>
    </row>
    <row r="333" spans="1:56" ht="18.75" customHeight="1" x14ac:dyDescent="0.55000000000000004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145"/>
      <c r="AE333" s="145"/>
      <c r="AF333" s="145"/>
      <c r="AG333" s="145"/>
      <c r="AH333" s="145"/>
      <c r="AI333" s="145"/>
      <c r="AJ333" s="145"/>
      <c r="AK333" s="145"/>
      <c r="AL333" s="145"/>
      <c r="AM333" s="145"/>
      <c r="AN333" s="145"/>
      <c r="AO333" s="145"/>
      <c r="AP333" s="145"/>
      <c r="AQ333" s="145"/>
      <c r="AR333" s="145"/>
      <c r="AS333" s="145"/>
      <c r="AT333" s="146"/>
      <c r="AU333" s="146"/>
      <c r="AV333" s="145"/>
      <c r="AW333" s="145"/>
      <c r="AX333" s="145"/>
      <c r="AY333" s="145"/>
      <c r="AZ333" s="145"/>
      <c r="BA333" s="145"/>
      <c r="BB333" s="145"/>
      <c r="BC333" s="145"/>
      <c r="BD333" s="145"/>
    </row>
    <row r="334" spans="1:56" ht="18.75" customHeight="1" x14ac:dyDescent="0.55000000000000004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145"/>
      <c r="AE334" s="145"/>
      <c r="AF334" s="145"/>
      <c r="AG334" s="145"/>
      <c r="AH334" s="145"/>
      <c r="AI334" s="145"/>
      <c r="AJ334" s="145"/>
      <c r="AK334" s="145"/>
      <c r="AL334" s="145"/>
      <c r="AM334" s="145"/>
      <c r="AN334" s="145"/>
      <c r="AO334" s="145"/>
      <c r="AP334" s="145"/>
      <c r="AQ334" s="145"/>
      <c r="AR334" s="145"/>
      <c r="AS334" s="145"/>
      <c r="AT334" s="146"/>
      <c r="AU334" s="146"/>
      <c r="AV334" s="145"/>
      <c r="AW334" s="145"/>
      <c r="AX334" s="145"/>
      <c r="AY334" s="145"/>
      <c r="AZ334" s="145"/>
      <c r="BA334" s="145"/>
      <c r="BB334" s="145"/>
      <c r="BC334" s="145"/>
      <c r="BD334" s="145"/>
    </row>
    <row r="335" spans="1:56" ht="18.75" customHeight="1" x14ac:dyDescent="0.55000000000000004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  <c r="AE335" s="145"/>
      <c r="AF335" s="145"/>
      <c r="AG335" s="145"/>
      <c r="AH335" s="145"/>
      <c r="AI335" s="145"/>
      <c r="AJ335" s="145"/>
      <c r="AK335" s="145"/>
      <c r="AL335" s="145"/>
      <c r="AM335" s="145"/>
      <c r="AN335" s="145"/>
      <c r="AO335" s="145"/>
      <c r="AP335" s="145"/>
      <c r="AQ335" s="145"/>
      <c r="AR335" s="145"/>
      <c r="AS335" s="145"/>
      <c r="AT335" s="146"/>
      <c r="AU335" s="146"/>
      <c r="AV335" s="145"/>
      <c r="AW335" s="145"/>
      <c r="AX335" s="145"/>
      <c r="AY335" s="145"/>
      <c r="AZ335" s="145"/>
      <c r="BA335" s="145"/>
      <c r="BB335" s="145"/>
      <c r="BC335" s="145"/>
      <c r="BD335" s="145"/>
    </row>
    <row r="336" spans="1:56" ht="18.75" customHeight="1" x14ac:dyDescent="0.55000000000000004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145"/>
      <c r="AE336" s="145"/>
      <c r="AF336" s="145"/>
      <c r="AG336" s="145"/>
      <c r="AH336" s="145"/>
      <c r="AI336" s="145"/>
      <c r="AJ336" s="145"/>
      <c r="AK336" s="145"/>
      <c r="AL336" s="145"/>
      <c r="AM336" s="145"/>
      <c r="AN336" s="145"/>
      <c r="AO336" s="145"/>
      <c r="AP336" s="145"/>
      <c r="AQ336" s="145"/>
      <c r="AR336" s="145"/>
      <c r="AS336" s="145"/>
      <c r="AT336" s="146"/>
      <c r="AU336" s="146"/>
      <c r="AV336" s="145"/>
      <c r="AW336" s="145"/>
      <c r="AX336" s="145"/>
      <c r="AY336" s="145"/>
      <c r="AZ336" s="145"/>
      <c r="BA336" s="145"/>
      <c r="BB336" s="145"/>
      <c r="BC336" s="145"/>
      <c r="BD336" s="145"/>
    </row>
    <row r="337" spans="1:56" ht="18.75" customHeight="1" x14ac:dyDescent="0.55000000000000004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145"/>
      <c r="AE337" s="145"/>
      <c r="AF337" s="145"/>
      <c r="AG337" s="145"/>
      <c r="AH337" s="145"/>
      <c r="AI337" s="145"/>
      <c r="AJ337" s="145"/>
      <c r="AK337" s="145"/>
      <c r="AL337" s="145"/>
      <c r="AM337" s="145"/>
      <c r="AN337" s="145"/>
      <c r="AO337" s="145"/>
      <c r="AP337" s="145"/>
      <c r="AQ337" s="145"/>
      <c r="AR337" s="145"/>
      <c r="AS337" s="145"/>
      <c r="AT337" s="146"/>
      <c r="AU337" s="146"/>
      <c r="AV337" s="145"/>
      <c r="AW337" s="145"/>
      <c r="AX337" s="145"/>
      <c r="AY337" s="145"/>
      <c r="AZ337" s="145"/>
      <c r="BA337" s="145"/>
      <c r="BB337" s="145"/>
      <c r="BC337" s="145"/>
      <c r="BD337" s="145"/>
    </row>
    <row r="338" spans="1:56" ht="18.75" customHeight="1" x14ac:dyDescent="0.55000000000000004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145"/>
      <c r="AE338" s="145"/>
      <c r="AF338" s="145"/>
      <c r="AG338" s="145"/>
      <c r="AH338" s="145"/>
      <c r="AI338" s="145"/>
      <c r="AJ338" s="145"/>
      <c r="AK338" s="145"/>
      <c r="AL338" s="145"/>
      <c r="AM338" s="145"/>
      <c r="AN338" s="145"/>
      <c r="AO338" s="145"/>
      <c r="AP338" s="145"/>
      <c r="AQ338" s="145"/>
      <c r="AR338" s="145"/>
      <c r="AS338" s="145"/>
      <c r="AT338" s="146"/>
      <c r="AU338" s="146"/>
      <c r="AV338" s="145"/>
      <c r="AW338" s="145"/>
      <c r="AX338" s="145"/>
      <c r="AY338" s="145"/>
      <c r="AZ338" s="145"/>
      <c r="BA338" s="145"/>
      <c r="BB338" s="145"/>
      <c r="BC338" s="145"/>
      <c r="BD338" s="145"/>
    </row>
    <row r="339" spans="1:56" ht="18.75" customHeight="1" x14ac:dyDescent="0.55000000000000004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145"/>
      <c r="AE339" s="145"/>
      <c r="AF339" s="145"/>
      <c r="AG339" s="145"/>
      <c r="AH339" s="145"/>
      <c r="AI339" s="145"/>
      <c r="AJ339" s="145"/>
      <c r="AK339" s="145"/>
      <c r="AL339" s="145"/>
      <c r="AM339" s="145"/>
      <c r="AN339" s="145"/>
      <c r="AO339" s="145"/>
      <c r="AP339" s="145"/>
      <c r="AQ339" s="145"/>
      <c r="AR339" s="145"/>
      <c r="AS339" s="145"/>
      <c r="AT339" s="146"/>
      <c r="AU339" s="146"/>
      <c r="AV339" s="145"/>
      <c r="AW339" s="145"/>
      <c r="AX339" s="145"/>
      <c r="AY339" s="145"/>
      <c r="AZ339" s="145"/>
      <c r="BA339" s="145"/>
      <c r="BB339" s="145"/>
      <c r="BC339" s="145"/>
      <c r="BD339" s="145"/>
    </row>
    <row r="340" spans="1:56" ht="18.75" customHeight="1" x14ac:dyDescent="0.55000000000000004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  <c r="AE340" s="145"/>
      <c r="AF340" s="145"/>
      <c r="AG340" s="145"/>
      <c r="AH340" s="145"/>
      <c r="AI340" s="145"/>
      <c r="AJ340" s="145"/>
      <c r="AK340" s="145"/>
      <c r="AL340" s="145"/>
      <c r="AM340" s="145"/>
      <c r="AN340" s="145"/>
      <c r="AO340" s="145"/>
      <c r="AP340" s="145"/>
      <c r="AQ340" s="145"/>
      <c r="AR340" s="145"/>
      <c r="AS340" s="145"/>
      <c r="AT340" s="146"/>
      <c r="AU340" s="146"/>
      <c r="AV340" s="145"/>
      <c r="AW340" s="145"/>
      <c r="AX340" s="145"/>
      <c r="AY340" s="145"/>
      <c r="AZ340" s="145"/>
      <c r="BA340" s="145"/>
      <c r="BB340" s="145"/>
      <c r="BC340" s="145"/>
      <c r="BD340" s="145"/>
    </row>
    <row r="341" spans="1:56" ht="18.75" customHeight="1" x14ac:dyDescent="0.55000000000000004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  <c r="AC341" s="145"/>
      <c r="AD341" s="145"/>
      <c r="AE341" s="145"/>
      <c r="AF341" s="145"/>
      <c r="AG341" s="145"/>
      <c r="AH341" s="145"/>
      <c r="AI341" s="145"/>
      <c r="AJ341" s="145"/>
      <c r="AK341" s="145"/>
      <c r="AL341" s="145"/>
      <c r="AM341" s="145"/>
      <c r="AN341" s="145"/>
      <c r="AO341" s="145"/>
      <c r="AP341" s="145"/>
      <c r="AQ341" s="145"/>
      <c r="AR341" s="145"/>
      <c r="AS341" s="145"/>
      <c r="AT341" s="146"/>
      <c r="AU341" s="146"/>
      <c r="AV341" s="145"/>
      <c r="AW341" s="145"/>
      <c r="AX341" s="145"/>
      <c r="AY341" s="145"/>
      <c r="AZ341" s="145"/>
      <c r="BA341" s="145"/>
      <c r="BB341" s="145"/>
      <c r="BC341" s="145"/>
      <c r="BD341" s="145"/>
    </row>
    <row r="342" spans="1:56" ht="18.75" customHeight="1" x14ac:dyDescent="0.55000000000000004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6"/>
      <c r="AU342" s="146"/>
      <c r="AV342" s="145"/>
      <c r="AW342" s="145"/>
      <c r="AX342" s="145"/>
      <c r="AY342" s="145"/>
      <c r="AZ342" s="145"/>
      <c r="BA342" s="145"/>
      <c r="BB342" s="145"/>
      <c r="BC342" s="145"/>
      <c r="BD342" s="145"/>
    </row>
    <row r="343" spans="1:56" ht="18.75" customHeight="1" x14ac:dyDescent="0.55000000000000004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6"/>
      <c r="AU343" s="146"/>
      <c r="AV343" s="145"/>
      <c r="AW343" s="145"/>
      <c r="AX343" s="145"/>
      <c r="AY343" s="145"/>
      <c r="AZ343" s="145"/>
      <c r="BA343" s="145"/>
      <c r="BB343" s="145"/>
      <c r="BC343" s="145"/>
      <c r="BD343" s="145"/>
    </row>
    <row r="344" spans="1:56" ht="18.75" customHeight="1" x14ac:dyDescent="0.55000000000000004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  <c r="AC344" s="145"/>
      <c r="AD344" s="145"/>
      <c r="AE344" s="145"/>
      <c r="AF344" s="145"/>
      <c r="AG344" s="145"/>
      <c r="AH344" s="145"/>
      <c r="AI344" s="145"/>
      <c r="AJ344" s="145"/>
      <c r="AK344" s="145"/>
      <c r="AL344" s="145"/>
      <c r="AM344" s="145"/>
      <c r="AN344" s="145"/>
      <c r="AO344" s="145"/>
      <c r="AP344" s="145"/>
      <c r="AQ344" s="145"/>
      <c r="AR344" s="145"/>
      <c r="AS344" s="145"/>
      <c r="AT344" s="146"/>
      <c r="AU344" s="146"/>
      <c r="AV344" s="145"/>
      <c r="AW344" s="145"/>
      <c r="AX344" s="145"/>
      <c r="AY344" s="145"/>
      <c r="AZ344" s="145"/>
      <c r="BA344" s="145"/>
      <c r="BB344" s="145"/>
      <c r="BC344" s="145"/>
      <c r="BD344" s="145"/>
    </row>
    <row r="345" spans="1:56" ht="18.75" customHeight="1" x14ac:dyDescent="0.55000000000000004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6"/>
      <c r="AU345" s="146"/>
      <c r="AV345" s="145"/>
      <c r="AW345" s="145"/>
      <c r="AX345" s="145"/>
      <c r="AY345" s="145"/>
      <c r="AZ345" s="145"/>
      <c r="BA345" s="145"/>
      <c r="BB345" s="145"/>
      <c r="BC345" s="145"/>
      <c r="BD345" s="145"/>
    </row>
    <row r="346" spans="1:56" ht="18.75" customHeight="1" x14ac:dyDescent="0.55000000000000004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6"/>
      <c r="AU346" s="146"/>
      <c r="AV346" s="145"/>
      <c r="AW346" s="145"/>
      <c r="AX346" s="145"/>
      <c r="AY346" s="145"/>
      <c r="AZ346" s="145"/>
      <c r="BA346" s="145"/>
      <c r="BB346" s="145"/>
      <c r="BC346" s="145"/>
      <c r="BD346" s="145"/>
    </row>
    <row r="347" spans="1:56" ht="18.75" customHeight="1" x14ac:dyDescent="0.55000000000000004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6"/>
      <c r="AU347" s="146"/>
      <c r="AV347" s="145"/>
      <c r="AW347" s="145"/>
      <c r="AX347" s="145"/>
      <c r="AY347" s="145"/>
      <c r="AZ347" s="145"/>
      <c r="BA347" s="145"/>
      <c r="BB347" s="145"/>
      <c r="BC347" s="145"/>
      <c r="BD347" s="145"/>
    </row>
    <row r="348" spans="1:56" ht="18.75" customHeight="1" x14ac:dyDescent="0.55000000000000004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  <c r="AC348" s="145"/>
      <c r="AD348" s="145"/>
      <c r="AE348" s="145"/>
      <c r="AF348" s="145"/>
      <c r="AG348" s="145"/>
      <c r="AH348" s="145"/>
      <c r="AI348" s="145"/>
      <c r="AJ348" s="145"/>
      <c r="AK348" s="145"/>
      <c r="AL348" s="145"/>
      <c r="AM348" s="145"/>
      <c r="AN348" s="145"/>
      <c r="AO348" s="145"/>
      <c r="AP348" s="145"/>
      <c r="AQ348" s="145"/>
      <c r="AR348" s="145"/>
      <c r="AS348" s="145"/>
      <c r="AT348" s="146"/>
      <c r="AU348" s="146"/>
      <c r="AV348" s="145"/>
      <c r="AW348" s="145"/>
      <c r="AX348" s="145"/>
      <c r="AY348" s="145"/>
      <c r="AZ348" s="145"/>
      <c r="BA348" s="145"/>
      <c r="BB348" s="145"/>
      <c r="BC348" s="145"/>
      <c r="BD348" s="145"/>
    </row>
    <row r="349" spans="1:56" ht="18.75" customHeight="1" x14ac:dyDescent="0.55000000000000004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  <c r="AC349" s="145"/>
      <c r="AD349" s="145"/>
      <c r="AE349" s="145"/>
      <c r="AF349" s="145"/>
      <c r="AG349" s="145"/>
      <c r="AH349" s="145"/>
      <c r="AI349" s="145"/>
      <c r="AJ349" s="145"/>
      <c r="AK349" s="145"/>
      <c r="AL349" s="145"/>
      <c r="AM349" s="145"/>
      <c r="AN349" s="145"/>
      <c r="AO349" s="145"/>
      <c r="AP349" s="145"/>
      <c r="AQ349" s="145"/>
      <c r="AR349" s="145"/>
      <c r="AS349" s="145"/>
      <c r="AT349" s="146"/>
      <c r="AU349" s="146"/>
      <c r="AV349" s="145"/>
      <c r="AW349" s="145"/>
      <c r="AX349" s="145"/>
      <c r="AY349" s="145"/>
      <c r="AZ349" s="145"/>
      <c r="BA349" s="145"/>
      <c r="BB349" s="145"/>
      <c r="BC349" s="145"/>
      <c r="BD349" s="145"/>
    </row>
    <row r="350" spans="1:56" ht="18.75" customHeight="1" x14ac:dyDescent="0.55000000000000004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  <c r="AC350" s="145"/>
      <c r="AD350" s="145"/>
      <c r="AE350" s="145"/>
      <c r="AF350" s="145"/>
      <c r="AG350" s="145"/>
      <c r="AH350" s="145"/>
      <c r="AI350" s="145"/>
      <c r="AJ350" s="145"/>
      <c r="AK350" s="145"/>
      <c r="AL350" s="145"/>
      <c r="AM350" s="145"/>
      <c r="AN350" s="145"/>
      <c r="AO350" s="145"/>
      <c r="AP350" s="145"/>
      <c r="AQ350" s="145"/>
      <c r="AR350" s="145"/>
      <c r="AS350" s="145"/>
      <c r="AT350" s="146"/>
      <c r="AU350" s="146"/>
      <c r="AV350" s="145"/>
      <c r="AW350" s="145"/>
      <c r="AX350" s="145"/>
      <c r="AY350" s="145"/>
      <c r="AZ350" s="145"/>
      <c r="BA350" s="145"/>
      <c r="BB350" s="145"/>
      <c r="BC350" s="145"/>
      <c r="BD350" s="145"/>
    </row>
    <row r="351" spans="1:56" ht="18.75" customHeight="1" x14ac:dyDescent="0.55000000000000004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  <c r="AC351" s="145"/>
      <c r="AD351" s="145"/>
      <c r="AE351" s="145"/>
      <c r="AF351" s="145"/>
      <c r="AG351" s="145"/>
      <c r="AH351" s="145"/>
      <c r="AI351" s="145"/>
      <c r="AJ351" s="145"/>
      <c r="AK351" s="145"/>
      <c r="AL351" s="145"/>
      <c r="AM351" s="145"/>
      <c r="AN351" s="145"/>
      <c r="AO351" s="145"/>
      <c r="AP351" s="145"/>
      <c r="AQ351" s="145"/>
      <c r="AR351" s="145"/>
      <c r="AS351" s="145"/>
      <c r="AT351" s="146"/>
      <c r="AU351" s="146"/>
      <c r="AV351" s="145"/>
      <c r="AW351" s="145"/>
      <c r="AX351" s="145"/>
      <c r="AY351" s="145"/>
      <c r="AZ351" s="145"/>
      <c r="BA351" s="145"/>
      <c r="BB351" s="145"/>
      <c r="BC351" s="145"/>
      <c r="BD351" s="145"/>
    </row>
    <row r="352" spans="1:56" ht="18.75" customHeight="1" x14ac:dyDescent="0.55000000000000004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  <c r="AC352" s="145"/>
      <c r="AD352" s="145"/>
      <c r="AE352" s="145"/>
      <c r="AF352" s="145"/>
      <c r="AG352" s="145"/>
      <c r="AH352" s="145"/>
      <c r="AI352" s="145"/>
      <c r="AJ352" s="145"/>
      <c r="AK352" s="145"/>
      <c r="AL352" s="145"/>
      <c r="AM352" s="145"/>
      <c r="AN352" s="145"/>
      <c r="AO352" s="145"/>
      <c r="AP352" s="145"/>
      <c r="AQ352" s="145"/>
      <c r="AR352" s="145"/>
      <c r="AS352" s="145"/>
      <c r="AT352" s="146"/>
      <c r="AU352" s="146"/>
      <c r="AV352" s="145"/>
      <c r="AW352" s="145"/>
      <c r="AX352" s="145"/>
      <c r="AY352" s="145"/>
      <c r="AZ352" s="145"/>
      <c r="BA352" s="145"/>
      <c r="BB352" s="145"/>
      <c r="BC352" s="145"/>
      <c r="BD352" s="145"/>
    </row>
    <row r="353" spans="1:56" ht="18.75" customHeight="1" x14ac:dyDescent="0.55000000000000004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  <c r="AC353" s="145"/>
      <c r="AD353" s="145"/>
      <c r="AE353" s="145"/>
      <c r="AF353" s="145"/>
      <c r="AG353" s="145"/>
      <c r="AH353" s="145"/>
      <c r="AI353" s="145"/>
      <c r="AJ353" s="145"/>
      <c r="AK353" s="145"/>
      <c r="AL353" s="145"/>
      <c r="AM353" s="145"/>
      <c r="AN353" s="145"/>
      <c r="AO353" s="145"/>
      <c r="AP353" s="145"/>
      <c r="AQ353" s="145"/>
      <c r="AR353" s="145"/>
      <c r="AS353" s="145"/>
      <c r="AT353" s="146"/>
      <c r="AU353" s="146"/>
      <c r="AV353" s="145"/>
      <c r="AW353" s="145"/>
      <c r="AX353" s="145"/>
      <c r="AY353" s="145"/>
      <c r="AZ353" s="145"/>
      <c r="BA353" s="145"/>
      <c r="BB353" s="145"/>
      <c r="BC353" s="145"/>
      <c r="BD353" s="145"/>
    </row>
    <row r="354" spans="1:56" ht="18.75" customHeight="1" x14ac:dyDescent="0.55000000000000004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  <c r="AC354" s="145"/>
      <c r="AD354" s="145"/>
      <c r="AE354" s="145"/>
      <c r="AF354" s="145"/>
      <c r="AG354" s="145"/>
      <c r="AH354" s="145"/>
      <c r="AI354" s="145"/>
      <c r="AJ354" s="145"/>
      <c r="AK354" s="145"/>
      <c r="AL354" s="145"/>
      <c r="AM354" s="145"/>
      <c r="AN354" s="145"/>
      <c r="AO354" s="145"/>
      <c r="AP354" s="145"/>
      <c r="AQ354" s="145"/>
      <c r="AR354" s="145"/>
      <c r="AS354" s="145"/>
      <c r="AT354" s="146"/>
      <c r="AU354" s="146"/>
      <c r="AV354" s="145"/>
      <c r="AW354" s="145"/>
      <c r="AX354" s="145"/>
      <c r="AY354" s="145"/>
      <c r="AZ354" s="145"/>
      <c r="BA354" s="145"/>
      <c r="BB354" s="145"/>
      <c r="BC354" s="145"/>
      <c r="BD354" s="145"/>
    </row>
    <row r="355" spans="1:56" ht="18.75" customHeight="1" x14ac:dyDescent="0.55000000000000004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  <c r="AC355" s="145"/>
      <c r="AD355" s="145"/>
      <c r="AE355" s="145"/>
      <c r="AF355" s="145"/>
      <c r="AG355" s="145"/>
      <c r="AH355" s="145"/>
      <c r="AI355" s="145"/>
      <c r="AJ355" s="145"/>
      <c r="AK355" s="145"/>
      <c r="AL355" s="145"/>
      <c r="AM355" s="145"/>
      <c r="AN355" s="145"/>
      <c r="AO355" s="145"/>
      <c r="AP355" s="145"/>
      <c r="AQ355" s="145"/>
      <c r="AR355" s="145"/>
      <c r="AS355" s="145"/>
      <c r="AT355" s="146"/>
      <c r="AU355" s="146"/>
      <c r="AV355" s="145"/>
      <c r="AW355" s="145"/>
      <c r="AX355" s="145"/>
      <c r="AY355" s="145"/>
      <c r="AZ355" s="145"/>
      <c r="BA355" s="145"/>
      <c r="BB355" s="145"/>
      <c r="BC355" s="145"/>
      <c r="BD355" s="145"/>
    </row>
    <row r="356" spans="1:56" ht="18.75" customHeight="1" x14ac:dyDescent="0.55000000000000004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  <c r="AC356" s="145"/>
      <c r="AD356" s="145"/>
      <c r="AE356" s="145"/>
      <c r="AF356" s="145"/>
      <c r="AG356" s="145"/>
      <c r="AH356" s="145"/>
      <c r="AI356" s="145"/>
      <c r="AJ356" s="145"/>
      <c r="AK356" s="145"/>
      <c r="AL356" s="145"/>
      <c r="AM356" s="145"/>
      <c r="AN356" s="145"/>
      <c r="AO356" s="145"/>
      <c r="AP356" s="145"/>
      <c r="AQ356" s="145"/>
      <c r="AR356" s="145"/>
      <c r="AS356" s="145"/>
      <c r="AT356" s="146"/>
      <c r="AU356" s="146"/>
      <c r="AV356" s="145"/>
      <c r="AW356" s="145"/>
      <c r="AX356" s="145"/>
      <c r="AY356" s="145"/>
      <c r="AZ356" s="145"/>
      <c r="BA356" s="145"/>
      <c r="BB356" s="145"/>
      <c r="BC356" s="145"/>
      <c r="BD356" s="145"/>
    </row>
    <row r="357" spans="1:56" ht="18.75" customHeight="1" x14ac:dyDescent="0.55000000000000004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  <c r="AC357" s="145"/>
      <c r="AD357" s="145"/>
      <c r="AE357" s="145"/>
      <c r="AF357" s="145"/>
      <c r="AG357" s="145"/>
      <c r="AH357" s="145"/>
      <c r="AI357" s="145"/>
      <c r="AJ357" s="145"/>
      <c r="AK357" s="145"/>
      <c r="AL357" s="145"/>
      <c r="AM357" s="145"/>
      <c r="AN357" s="145"/>
      <c r="AO357" s="145"/>
      <c r="AP357" s="145"/>
      <c r="AQ357" s="145"/>
      <c r="AR357" s="145"/>
      <c r="AS357" s="145"/>
      <c r="AT357" s="146"/>
      <c r="AU357" s="146"/>
      <c r="AV357" s="145"/>
      <c r="AW357" s="145"/>
      <c r="AX357" s="145"/>
      <c r="AY357" s="145"/>
      <c r="AZ357" s="145"/>
      <c r="BA357" s="145"/>
      <c r="BB357" s="145"/>
      <c r="BC357" s="145"/>
      <c r="BD357" s="145"/>
    </row>
    <row r="358" spans="1:56" ht="18.75" customHeight="1" x14ac:dyDescent="0.55000000000000004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  <c r="AC358" s="145"/>
      <c r="AD358" s="145"/>
      <c r="AE358" s="145"/>
      <c r="AF358" s="145"/>
      <c r="AG358" s="145"/>
      <c r="AH358" s="145"/>
      <c r="AI358" s="145"/>
      <c r="AJ358" s="145"/>
      <c r="AK358" s="145"/>
      <c r="AL358" s="145"/>
      <c r="AM358" s="145"/>
      <c r="AN358" s="145"/>
      <c r="AO358" s="145"/>
      <c r="AP358" s="145"/>
      <c r="AQ358" s="145"/>
      <c r="AR358" s="145"/>
      <c r="AS358" s="145"/>
      <c r="AT358" s="146"/>
      <c r="AU358" s="146"/>
      <c r="AV358" s="145"/>
      <c r="AW358" s="145"/>
      <c r="AX358" s="145"/>
      <c r="AY358" s="145"/>
      <c r="AZ358" s="145"/>
      <c r="BA358" s="145"/>
      <c r="BB358" s="145"/>
      <c r="BC358" s="145"/>
      <c r="BD358" s="145"/>
    </row>
    <row r="359" spans="1:56" ht="18.75" customHeight="1" x14ac:dyDescent="0.55000000000000004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  <c r="AC359" s="145"/>
      <c r="AD359" s="145"/>
      <c r="AE359" s="145"/>
      <c r="AF359" s="145"/>
      <c r="AG359" s="145"/>
      <c r="AH359" s="145"/>
      <c r="AI359" s="145"/>
      <c r="AJ359" s="145"/>
      <c r="AK359" s="145"/>
      <c r="AL359" s="145"/>
      <c r="AM359" s="145"/>
      <c r="AN359" s="145"/>
      <c r="AO359" s="145"/>
      <c r="AP359" s="145"/>
      <c r="AQ359" s="145"/>
      <c r="AR359" s="145"/>
      <c r="AS359" s="145"/>
      <c r="AT359" s="146"/>
      <c r="AU359" s="146"/>
      <c r="AV359" s="145"/>
      <c r="AW359" s="145"/>
      <c r="AX359" s="145"/>
      <c r="AY359" s="145"/>
      <c r="AZ359" s="145"/>
      <c r="BA359" s="145"/>
      <c r="BB359" s="145"/>
      <c r="BC359" s="145"/>
      <c r="BD359" s="145"/>
    </row>
    <row r="360" spans="1:56" ht="18.75" customHeight="1" x14ac:dyDescent="0.55000000000000004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  <c r="AC360" s="145"/>
      <c r="AD360" s="145"/>
      <c r="AE360" s="145"/>
      <c r="AF360" s="145"/>
      <c r="AG360" s="145"/>
      <c r="AH360" s="145"/>
      <c r="AI360" s="145"/>
      <c r="AJ360" s="145"/>
      <c r="AK360" s="145"/>
      <c r="AL360" s="145"/>
      <c r="AM360" s="145"/>
      <c r="AN360" s="145"/>
      <c r="AO360" s="145"/>
      <c r="AP360" s="145"/>
      <c r="AQ360" s="145"/>
      <c r="AR360" s="145"/>
      <c r="AS360" s="145"/>
      <c r="AT360" s="146"/>
      <c r="AU360" s="146"/>
      <c r="AV360" s="145"/>
      <c r="AW360" s="145"/>
      <c r="AX360" s="145"/>
      <c r="AY360" s="145"/>
      <c r="AZ360" s="145"/>
      <c r="BA360" s="145"/>
      <c r="BB360" s="145"/>
      <c r="BC360" s="145"/>
      <c r="BD360" s="145"/>
    </row>
    <row r="361" spans="1:56" ht="18.75" customHeight="1" x14ac:dyDescent="0.55000000000000004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145"/>
      <c r="AD361" s="145"/>
      <c r="AE361" s="145"/>
      <c r="AF361" s="145"/>
      <c r="AG361" s="145"/>
      <c r="AH361" s="145"/>
      <c r="AI361" s="145"/>
      <c r="AJ361" s="145"/>
      <c r="AK361" s="145"/>
      <c r="AL361" s="145"/>
      <c r="AM361" s="145"/>
      <c r="AN361" s="145"/>
      <c r="AO361" s="145"/>
      <c r="AP361" s="145"/>
      <c r="AQ361" s="145"/>
      <c r="AR361" s="145"/>
      <c r="AS361" s="145"/>
      <c r="AT361" s="146"/>
      <c r="AU361" s="146"/>
      <c r="AV361" s="145"/>
      <c r="AW361" s="145"/>
      <c r="AX361" s="145"/>
      <c r="AY361" s="145"/>
      <c r="AZ361" s="145"/>
      <c r="BA361" s="145"/>
      <c r="BB361" s="145"/>
      <c r="BC361" s="145"/>
      <c r="BD361" s="145"/>
    </row>
    <row r="362" spans="1:56" ht="18.75" customHeight="1" x14ac:dyDescent="0.55000000000000004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  <c r="AE362" s="145"/>
      <c r="AF362" s="145"/>
      <c r="AG362" s="145"/>
      <c r="AH362" s="145"/>
      <c r="AI362" s="145"/>
      <c r="AJ362" s="145"/>
      <c r="AK362" s="145"/>
      <c r="AL362" s="145"/>
      <c r="AM362" s="145"/>
      <c r="AN362" s="145"/>
      <c r="AO362" s="145"/>
      <c r="AP362" s="145"/>
      <c r="AQ362" s="145"/>
      <c r="AR362" s="145"/>
      <c r="AS362" s="145"/>
      <c r="AT362" s="146"/>
      <c r="AU362" s="146"/>
      <c r="AV362" s="145"/>
      <c r="AW362" s="145"/>
      <c r="AX362" s="145"/>
      <c r="AY362" s="145"/>
      <c r="AZ362" s="145"/>
      <c r="BA362" s="145"/>
      <c r="BB362" s="145"/>
      <c r="BC362" s="145"/>
      <c r="BD362" s="145"/>
    </row>
    <row r="363" spans="1:56" ht="18.75" customHeight="1" x14ac:dyDescent="0.55000000000000004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145"/>
      <c r="AD363" s="145"/>
      <c r="AE363" s="145"/>
      <c r="AF363" s="145"/>
      <c r="AG363" s="145"/>
      <c r="AH363" s="145"/>
      <c r="AI363" s="145"/>
      <c r="AJ363" s="145"/>
      <c r="AK363" s="145"/>
      <c r="AL363" s="145"/>
      <c r="AM363" s="145"/>
      <c r="AN363" s="145"/>
      <c r="AO363" s="145"/>
      <c r="AP363" s="145"/>
      <c r="AQ363" s="145"/>
      <c r="AR363" s="145"/>
      <c r="AS363" s="145"/>
      <c r="AT363" s="146"/>
      <c r="AU363" s="146"/>
      <c r="AV363" s="145"/>
      <c r="AW363" s="145"/>
      <c r="AX363" s="145"/>
      <c r="AY363" s="145"/>
      <c r="AZ363" s="145"/>
      <c r="BA363" s="145"/>
      <c r="BB363" s="145"/>
      <c r="BC363" s="145"/>
      <c r="BD363" s="145"/>
    </row>
    <row r="364" spans="1:56" ht="18.75" customHeight="1" x14ac:dyDescent="0.55000000000000004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  <c r="AC364" s="145"/>
      <c r="AD364" s="145"/>
      <c r="AE364" s="145"/>
      <c r="AF364" s="145"/>
      <c r="AG364" s="145"/>
      <c r="AH364" s="145"/>
      <c r="AI364" s="145"/>
      <c r="AJ364" s="145"/>
      <c r="AK364" s="145"/>
      <c r="AL364" s="145"/>
      <c r="AM364" s="145"/>
      <c r="AN364" s="145"/>
      <c r="AO364" s="145"/>
      <c r="AP364" s="145"/>
      <c r="AQ364" s="145"/>
      <c r="AR364" s="145"/>
      <c r="AS364" s="145"/>
      <c r="AT364" s="146"/>
      <c r="AU364" s="146"/>
      <c r="AV364" s="145"/>
      <c r="AW364" s="145"/>
      <c r="AX364" s="145"/>
      <c r="AY364" s="145"/>
      <c r="AZ364" s="145"/>
      <c r="BA364" s="145"/>
      <c r="BB364" s="145"/>
      <c r="BC364" s="145"/>
      <c r="BD364" s="145"/>
    </row>
    <row r="365" spans="1:56" ht="18.75" customHeight="1" x14ac:dyDescent="0.55000000000000004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  <c r="AC365" s="145"/>
      <c r="AD365" s="145"/>
      <c r="AE365" s="145"/>
      <c r="AF365" s="145"/>
      <c r="AG365" s="145"/>
      <c r="AH365" s="145"/>
      <c r="AI365" s="145"/>
      <c r="AJ365" s="145"/>
      <c r="AK365" s="145"/>
      <c r="AL365" s="145"/>
      <c r="AM365" s="145"/>
      <c r="AN365" s="145"/>
      <c r="AO365" s="145"/>
      <c r="AP365" s="145"/>
      <c r="AQ365" s="145"/>
      <c r="AR365" s="145"/>
      <c r="AS365" s="145"/>
      <c r="AT365" s="146"/>
      <c r="AU365" s="146"/>
      <c r="AV365" s="145"/>
      <c r="AW365" s="145"/>
      <c r="AX365" s="145"/>
      <c r="AY365" s="145"/>
      <c r="AZ365" s="145"/>
      <c r="BA365" s="145"/>
      <c r="BB365" s="145"/>
      <c r="BC365" s="145"/>
      <c r="BD365" s="145"/>
    </row>
    <row r="366" spans="1:56" ht="18.75" customHeight="1" x14ac:dyDescent="0.55000000000000004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145"/>
      <c r="AD366" s="145"/>
      <c r="AE366" s="145"/>
      <c r="AF366" s="145"/>
      <c r="AG366" s="145"/>
      <c r="AH366" s="145"/>
      <c r="AI366" s="145"/>
      <c r="AJ366" s="145"/>
      <c r="AK366" s="145"/>
      <c r="AL366" s="145"/>
      <c r="AM366" s="145"/>
      <c r="AN366" s="145"/>
      <c r="AO366" s="145"/>
      <c r="AP366" s="145"/>
      <c r="AQ366" s="145"/>
      <c r="AR366" s="145"/>
      <c r="AS366" s="145"/>
      <c r="AT366" s="146"/>
      <c r="AU366" s="146"/>
      <c r="AV366" s="145"/>
      <c r="AW366" s="145"/>
      <c r="AX366" s="145"/>
      <c r="AY366" s="145"/>
      <c r="AZ366" s="145"/>
      <c r="BA366" s="145"/>
      <c r="BB366" s="145"/>
      <c r="BC366" s="145"/>
      <c r="BD366" s="145"/>
    </row>
    <row r="367" spans="1:56" ht="18.75" customHeight="1" x14ac:dyDescent="0.55000000000000004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  <c r="AC367" s="145"/>
      <c r="AD367" s="145"/>
      <c r="AE367" s="145"/>
      <c r="AF367" s="145"/>
      <c r="AG367" s="145"/>
      <c r="AH367" s="145"/>
      <c r="AI367" s="145"/>
      <c r="AJ367" s="145"/>
      <c r="AK367" s="145"/>
      <c r="AL367" s="145"/>
      <c r="AM367" s="145"/>
      <c r="AN367" s="145"/>
      <c r="AO367" s="145"/>
      <c r="AP367" s="145"/>
      <c r="AQ367" s="145"/>
      <c r="AR367" s="145"/>
      <c r="AS367" s="145"/>
      <c r="AT367" s="146"/>
      <c r="AU367" s="146"/>
      <c r="AV367" s="145"/>
      <c r="AW367" s="145"/>
      <c r="AX367" s="145"/>
      <c r="AY367" s="145"/>
      <c r="AZ367" s="145"/>
      <c r="BA367" s="145"/>
      <c r="BB367" s="145"/>
      <c r="BC367" s="145"/>
      <c r="BD367" s="145"/>
    </row>
    <row r="368" spans="1:56" ht="18.75" customHeight="1" x14ac:dyDescent="0.55000000000000004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  <c r="AC368" s="145"/>
      <c r="AD368" s="145"/>
      <c r="AE368" s="145"/>
      <c r="AF368" s="145"/>
      <c r="AG368" s="145"/>
      <c r="AH368" s="145"/>
      <c r="AI368" s="145"/>
      <c r="AJ368" s="145"/>
      <c r="AK368" s="145"/>
      <c r="AL368" s="145"/>
      <c r="AM368" s="145"/>
      <c r="AN368" s="145"/>
      <c r="AO368" s="145"/>
      <c r="AP368" s="145"/>
      <c r="AQ368" s="145"/>
      <c r="AR368" s="145"/>
      <c r="AS368" s="145"/>
      <c r="AT368" s="146"/>
      <c r="AU368" s="146"/>
      <c r="AV368" s="145"/>
      <c r="AW368" s="145"/>
      <c r="AX368" s="145"/>
      <c r="AY368" s="145"/>
      <c r="AZ368" s="145"/>
      <c r="BA368" s="145"/>
      <c r="BB368" s="145"/>
      <c r="BC368" s="145"/>
      <c r="BD368" s="145"/>
    </row>
    <row r="369" spans="1:56" ht="18.75" customHeight="1" x14ac:dyDescent="0.55000000000000004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  <c r="AE369" s="145"/>
      <c r="AF369" s="145"/>
      <c r="AG369" s="145"/>
      <c r="AH369" s="145"/>
      <c r="AI369" s="145"/>
      <c r="AJ369" s="145"/>
      <c r="AK369" s="145"/>
      <c r="AL369" s="145"/>
      <c r="AM369" s="145"/>
      <c r="AN369" s="145"/>
      <c r="AO369" s="145"/>
      <c r="AP369" s="145"/>
      <c r="AQ369" s="145"/>
      <c r="AR369" s="145"/>
      <c r="AS369" s="145"/>
      <c r="AT369" s="146"/>
      <c r="AU369" s="146"/>
      <c r="AV369" s="145"/>
      <c r="AW369" s="145"/>
      <c r="AX369" s="145"/>
      <c r="AY369" s="145"/>
      <c r="AZ369" s="145"/>
      <c r="BA369" s="145"/>
      <c r="BB369" s="145"/>
      <c r="BC369" s="145"/>
      <c r="BD369" s="145"/>
    </row>
    <row r="370" spans="1:56" ht="18.75" customHeight="1" x14ac:dyDescent="0.55000000000000004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145"/>
      <c r="AD370" s="145"/>
      <c r="AE370" s="145"/>
      <c r="AF370" s="145"/>
      <c r="AG370" s="145"/>
      <c r="AH370" s="145"/>
      <c r="AI370" s="145"/>
      <c r="AJ370" s="145"/>
      <c r="AK370" s="145"/>
      <c r="AL370" s="145"/>
      <c r="AM370" s="145"/>
      <c r="AN370" s="145"/>
      <c r="AO370" s="145"/>
      <c r="AP370" s="145"/>
      <c r="AQ370" s="145"/>
      <c r="AR370" s="145"/>
      <c r="AS370" s="145"/>
      <c r="AT370" s="146"/>
      <c r="AU370" s="146"/>
      <c r="AV370" s="145"/>
      <c r="AW370" s="145"/>
      <c r="AX370" s="145"/>
      <c r="AY370" s="145"/>
      <c r="AZ370" s="145"/>
      <c r="BA370" s="145"/>
      <c r="BB370" s="145"/>
      <c r="BC370" s="145"/>
      <c r="BD370" s="145"/>
    </row>
    <row r="371" spans="1:56" ht="18.75" customHeight="1" x14ac:dyDescent="0.55000000000000004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145"/>
      <c r="AD371" s="145"/>
      <c r="AE371" s="145"/>
      <c r="AF371" s="145"/>
      <c r="AG371" s="145"/>
      <c r="AH371" s="145"/>
      <c r="AI371" s="145"/>
      <c r="AJ371" s="145"/>
      <c r="AK371" s="145"/>
      <c r="AL371" s="145"/>
      <c r="AM371" s="145"/>
      <c r="AN371" s="145"/>
      <c r="AO371" s="145"/>
      <c r="AP371" s="145"/>
      <c r="AQ371" s="145"/>
      <c r="AR371" s="145"/>
      <c r="AS371" s="145"/>
      <c r="AT371" s="146"/>
      <c r="AU371" s="146"/>
      <c r="AV371" s="145"/>
      <c r="AW371" s="145"/>
      <c r="AX371" s="145"/>
      <c r="AY371" s="145"/>
      <c r="AZ371" s="145"/>
      <c r="BA371" s="145"/>
      <c r="BB371" s="145"/>
      <c r="BC371" s="145"/>
      <c r="BD371" s="145"/>
    </row>
    <row r="372" spans="1:56" ht="18.75" customHeight="1" x14ac:dyDescent="0.55000000000000004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  <c r="AC372" s="145"/>
      <c r="AD372" s="145"/>
      <c r="AE372" s="145"/>
      <c r="AF372" s="145"/>
      <c r="AG372" s="145"/>
      <c r="AH372" s="145"/>
      <c r="AI372" s="145"/>
      <c r="AJ372" s="145"/>
      <c r="AK372" s="145"/>
      <c r="AL372" s="145"/>
      <c r="AM372" s="145"/>
      <c r="AN372" s="145"/>
      <c r="AO372" s="145"/>
      <c r="AP372" s="145"/>
      <c r="AQ372" s="145"/>
      <c r="AR372" s="145"/>
      <c r="AS372" s="145"/>
      <c r="AT372" s="146"/>
      <c r="AU372" s="146"/>
      <c r="AV372" s="145"/>
      <c r="AW372" s="145"/>
      <c r="AX372" s="145"/>
      <c r="AY372" s="145"/>
      <c r="AZ372" s="145"/>
      <c r="BA372" s="145"/>
      <c r="BB372" s="145"/>
      <c r="BC372" s="145"/>
      <c r="BD372" s="145"/>
    </row>
    <row r="373" spans="1:56" ht="18.75" customHeight="1" x14ac:dyDescent="0.55000000000000004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  <c r="AC373" s="145"/>
      <c r="AD373" s="145"/>
      <c r="AE373" s="145"/>
      <c r="AF373" s="145"/>
      <c r="AG373" s="145"/>
      <c r="AH373" s="145"/>
      <c r="AI373" s="145"/>
      <c r="AJ373" s="145"/>
      <c r="AK373" s="145"/>
      <c r="AL373" s="145"/>
      <c r="AM373" s="145"/>
      <c r="AN373" s="145"/>
      <c r="AO373" s="145"/>
      <c r="AP373" s="145"/>
      <c r="AQ373" s="145"/>
      <c r="AR373" s="145"/>
      <c r="AS373" s="145"/>
      <c r="AT373" s="146"/>
      <c r="AU373" s="146"/>
      <c r="AV373" s="145"/>
      <c r="AW373" s="145"/>
      <c r="AX373" s="145"/>
      <c r="AY373" s="145"/>
      <c r="AZ373" s="145"/>
      <c r="BA373" s="145"/>
      <c r="BB373" s="145"/>
      <c r="BC373" s="145"/>
      <c r="BD373" s="145"/>
    </row>
    <row r="374" spans="1:56" ht="18.75" customHeight="1" x14ac:dyDescent="0.55000000000000004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  <c r="AC374" s="145"/>
      <c r="AD374" s="145"/>
      <c r="AE374" s="145"/>
      <c r="AF374" s="145"/>
      <c r="AG374" s="145"/>
      <c r="AH374" s="145"/>
      <c r="AI374" s="145"/>
      <c r="AJ374" s="145"/>
      <c r="AK374" s="145"/>
      <c r="AL374" s="145"/>
      <c r="AM374" s="145"/>
      <c r="AN374" s="145"/>
      <c r="AO374" s="145"/>
      <c r="AP374" s="145"/>
      <c r="AQ374" s="145"/>
      <c r="AR374" s="145"/>
      <c r="AS374" s="145"/>
      <c r="AT374" s="146"/>
      <c r="AU374" s="146"/>
      <c r="AV374" s="145"/>
      <c r="AW374" s="145"/>
      <c r="AX374" s="145"/>
      <c r="AY374" s="145"/>
      <c r="AZ374" s="145"/>
      <c r="BA374" s="145"/>
      <c r="BB374" s="145"/>
      <c r="BC374" s="145"/>
      <c r="BD374" s="145"/>
    </row>
    <row r="375" spans="1:56" ht="18.75" customHeight="1" x14ac:dyDescent="0.55000000000000004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  <c r="AC375" s="145"/>
      <c r="AD375" s="145"/>
      <c r="AE375" s="145"/>
      <c r="AF375" s="145"/>
      <c r="AG375" s="145"/>
      <c r="AH375" s="145"/>
      <c r="AI375" s="145"/>
      <c r="AJ375" s="145"/>
      <c r="AK375" s="145"/>
      <c r="AL375" s="145"/>
      <c r="AM375" s="145"/>
      <c r="AN375" s="145"/>
      <c r="AO375" s="145"/>
      <c r="AP375" s="145"/>
      <c r="AQ375" s="145"/>
      <c r="AR375" s="145"/>
      <c r="AS375" s="145"/>
      <c r="AT375" s="146"/>
      <c r="AU375" s="146"/>
      <c r="AV375" s="145"/>
      <c r="AW375" s="145"/>
      <c r="AX375" s="145"/>
      <c r="AY375" s="145"/>
      <c r="AZ375" s="145"/>
      <c r="BA375" s="145"/>
      <c r="BB375" s="145"/>
      <c r="BC375" s="145"/>
      <c r="BD375" s="145"/>
    </row>
    <row r="376" spans="1:56" ht="18.75" customHeight="1" x14ac:dyDescent="0.55000000000000004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145"/>
      <c r="AD376" s="145"/>
      <c r="AE376" s="145"/>
      <c r="AF376" s="145"/>
      <c r="AG376" s="145"/>
      <c r="AH376" s="145"/>
      <c r="AI376" s="145"/>
      <c r="AJ376" s="145"/>
      <c r="AK376" s="145"/>
      <c r="AL376" s="145"/>
      <c r="AM376" s="145"/>
      <c r="AN376" s="145"/>
      <c r="AO376" s="145"/>
      <c r="AP376" s="145"/>
      <c r="AQ376" s="145"/>
      <c r="AR376" s="145"/>
      <c r="AS376" s="145"/>
      <c r="AT376" s="146"/>
      <c r="AU376" s="146"/>
      <c r="AV376" s="145"/>
      <c r="AW376" s="145"/>
      <c r="AX376" s="145"/>
      <c r="AY376" s="145"/>
      <c r="AZ376" s="145"/>
      <c r="BA376" s="145"/>
      <c r="BB376" s="145"/>
      <c r="BC376" s="145"/>
      <c r="BD376" s="145"/>
    </row>
    <row r="377" spans="1:56" ht="18.75" customHeight="1" x14ac:dyDescent="0.55000000000000004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  <c r="AC377" s="145"/>
      <c r="AD377" s="145"/>
      <c r="AE377" s="145"/>
      <c r="AF377" s="145"/>
      <c r="AG377" s="145"/>
      <c r="AH377" s="145"/>
      <c r="AI377" s="145"/>
      <c r="AJ377" s="145"/>
      <c r="AK377" s="145"/>
      <c r="AL377" s="145"/>
      <c r="AM377" s="145"/>
      <c r="AN377" s="145"/>
      <c r="AO377" s="145"/>
      <c r="AP377" s="145"/>
      <c r="AQ377" s="145"/>
      <c r="AR377" s="145"/>
      <c r="AS377" s="145"/>
      <c r="AT377" s="146"/>
      <c r="AU377" s="146"/>
      <c r="AV377" s="145"/>
      <c r="AW377" s="145"/>
      <c r="AX377" s="145"/>
      <c r="AY377" s="145"/>
      <c r="AZ377" s="145"/>
      <c r="BA377" s="145"/>
      <c r="BB377" s="145"/>
      <c r="BC377" s="145"/>
      <c r="BD377" s="145"/>
    </row>
    <row r="378" spans="1:56" ht="18.75" customHeight="1" x14ac:dyDescent="0.55000000000000004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  <c r="AC378" s="145"/>
      <c r="AD378" s="145"/>
      <c r="AE378" s="145"/>
      <c r="AF378" s="145"/>
      <c r="AG378" s="145"/>
      <c r="AH378" s="145"/>
      <c r="AI378" s="145"/>
      <c r="AJ378" s="145"/>
      <c r="AK378" s="145"/>
      <c r="AL378" s="145"/>
      <c r="AM378" s="145"/>
      <c r="AN378" s="145"/>
      <c r="AO378" s="145"/>
      <c r="AP378" s="145"/>
      <c r="AQ378" s="145"/>
      <c r="AR378" s="145"/>
      <c r="AS378" s="145"/>
      <c r="AT378" s="146"/>
      <c r="AU378" s="146"/>
      <c r="AV378" s="145"/>
      <c r="AW378" s="145"/>
      <c r="AX378" s="145"/>
      <c r="AY378" s="145"/>
      <c r="AZ378" s="145"/>
      <c r="BA378" s="145"/>
      <c r="BB378" s="145"/>
      <c r="BC378" s="145"/>
      <c r="BD378" s="145"/>
    </row>
    <row r="379" spans="1:56" ht="18.75" customHeight="1" x14ac:dyDescent="0.55000000000000004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  <c r="AC379" s="145"/>
      <c r="AD379" s="145"/>
      <c r="AE379" s="145"/>
      <c r="AF379" s="145"/>
      <c r="AG379" s="145"/>
      <c r="AH379" s="145"/>
      <c r="AI379" s="145"/>
      <c r="AJ379" s="145"/>
      <c r="AK379" s="145"/>
      <c r="AL379" s="145"/>
      <c r="AM379" s="145"/>
      <c r="AN379" s="145"/>
      <c r="AO379" s="145"/>
      <c r="AP379" s="145"/>
      <c r="AQ379" s="145"/>
      <c r="AR379" s="145"/>
      <c r="AS379" s="145"/>
      <c r="AT379" s="146"/>
      <c r="AU379" s="146"/>
      <c r="AV379" s="145"/>
      <c r="AW379" s="145"/>
      <c r="AX379" s="145"/>
      <c r="AY379" s="145"/>
      <c r="AZ379" s="145"/>
      <c r="BA379" s="145"/>
      <c r="BB379" s="145"/>
      <c r="BC379" s="145"/>
      <c r="BD379" s="145"/>
    </row>
    <row r="380" spans="1:56" ht="18.75" customHeight="1" x14ac:dyDescent="0.55000000000000004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  <c r="AC380" s="145"/>
      <c r="AD380" s="145"/>
      <c r="AE380" s="145"/>
      <c r="AF380" s="145"/>
      <c r="AG380" s="145"/>
      <c r="AH380" s="145"/>
      <c r="AI380" s="145"/>
      <c r="AJ380" s="145"/>
      <c r="AK380" s="145"/>
      <c r="AL380" s="145"/>
      <c r="AM380" s="145"/>
      <c r="AN380" s="145"/>
      <c r="AO380" s="145"/>
      <c r="AP380" s="145"/>
      <c r="AQ380" s="145"/>
      <c r="AR380" s="145"/>
      <c r="AS380" s="145"/>
      <c r="AT380" s="146"/>
      <c r="AU380" s="146"/>
      <c r="AV380" s="145"/>
      <c r="AW380" s="145"/>
      <c r="AX380" s="145"/>
      <c r="AY380" s="145"/>
      <c r="AZ380" s="145"/>
      <c r="BA380" s="145"/>
      <c r="BB380" s="145"/>
      <c r="BC380" s="145"/>
      <c r="BD380" s="145"/>
    </row>
    <row r="381" spans="1:56" ht="18.75" customHeight="1" x14ac:dyDescent="0.55000000000000004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  <c r="AE381" s="145"/>
      <c r="AF381" s="145"/>
      <c r="AG381" s="145"/>
      <c r="AH381" s="145"/>
      <c r="AI381" s="145"/>
      <c r="AJ381" s="145"/>
      <c r="AK381" s="145"/>
      <c r="AL381" s="145"/>
      <c r="AM381" s="145"/>
      <c r="AN381" s="145"/>
      <c r="AO381" s="145"/>
      <c r="AP381" s="145"/>
      <c r="AQ381" s="145"/>
      <c r="AR381" s="145"/>
      <c r="AS381" s="145"/>
      <c r="AT381" s="146"/>
      <c r="AU381" s="146"/>
      <c r="AV381" s="145"/>
      <c r="AW381" s="145"/>
      <c r="AX381" s="145"/>
      <c r="AY381" s="145"/>
      <c r="AZ381" s="145"/>
      <c r="BA381" s="145"/>
      <c r="BB381" s="145"/>
      <c r="BC381" s="145"/>
      <c r="BD381" s="145"/>
    </row>
    <row r="382" spans="1:56" ht="18.75" customHeight="1" x14ac:dyDescent="0.55000000000000004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  <c r="AC382" s="145"/>
      <c r="AD382" s="145"/>
      <c r="AE382" s="145"/>
      <c r="AF382" s="145"/>
      <c r="AG382" s="145"/>
      <c r="AH382" s="145"/>
      <c r="AI382" s="145"/>
      <c r="AJ382" s="145"/>
      <c r="AK382" s="145"/>
      <c r="AL382" s="145"/>
      <c r="AM382" s="145"/>
      <c r="AN382" s="145"/>
      <c r="AO382" s="145"/>
      <c r="AP382" s="145"/>
      <c r="AQ382" s="145"/>
      <c r="AR382" s="145"/>
      <c r="AS382" s="145"/>
      <c r="AT382" s="146"/>
      <c r="AU382" s="146"/>
      <c r="AV382" s="145"/>
      <c r="AW382" s="145"/>
      <c r="AX382" s="145"/>
      <c r="AY382" s="145"/>
      <c r="AZ382" s="145"/>
      <c r="BA382" s="145"/>
      <c r="BB382" s="145"/>
      <c r="BC382" s="145"/>
      <c r="BD382" s="145"/>
    </row>
    <row r="383" spans="1:56" ht="18.75" customHeight="1" x14ac:dyDescent="0.55000000000000004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  <c r="AC383" s="145"/>
      <c r="AD383" s="145"/>
      <c r="AE383" s="145"/>
      <c r="AF383" s="145"/>
      <c r="AG383" s="145"/>
      <c r="AH383" s="145"/>
      <c r="AI383" s="145"/>
      <c r="AJ383" s="145"/>
      <c r="AK383" s="145"/>
      <c r="AL383" s="145"/>
      <c r="AM383" s="145"/>
      <c r="AN383" s="145"/>
      <c r="AO383" s="145"/>
      <c r="AP383" s="145"/>
      <c r="AQ383" s="145"/>
      <c r="AR383" s="145"/>
      <c r="AS383" s="145"/>
      <c r="AT383" s="146"/>
      <c r="AU383" s="146"/>
      <c r="AV383" s="145"/>
      <c r="AW383" s="145"/>
      <c r="AX383" s="145"/>
      <c r="AY383" s="145"/>
      <c r="AZ383" s="145"/>
      <c r="BA383" s="145"/>
      <c r="BB383" s="145"/>
      <c r="BC383" s="145"/>
      <c r="BD383" s="145"/>
    </row>
    <row r="384" spans="1:56" ht="18.75" customHeight="1" x14ac:dyDescent="0.55000000000000004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  <c r="AC384" s="145"/>
      <c r="AD384" s="145"/>
      <c r="AE384" s="145"/>
      <c r="AF384" s="145"/>
      <c r="AG384" s="145"/>
      <c r="AH384" s="145"/>
      <c r="AI384" s="145"/>
      <c r="AJ384" s="145"/>
      <c r="AK384" s="145"/>
      <c r="AL384" s="145"/>
      <c r="AM384" s="145"/>
      <c r="AN384" s="145"/>
      <c r="AO384" s="145"/>
      <c r="AP384" s="145"/>
      <c r="AQ384" s="145"/>
      <c r="AR384" s="145"/>
      <c r="AS384" s="145"/>
      <c r="AT384" s="146"/>
      <c r="AU384" s="146"/>
      <c r="AV384" s="145"/>
      <c r="AW384" s="145"/>
      <c r="AX384" s="145"/>
      <c r="AY384" s="145"/>
      <c r="AZ384" s="145"/>
      <c r="BA384" s="145"/>
      <c r="BB384" s="145"/>
      <c r="BC384" s="145"/>
      <c r="BD384" s="145"/>
    </row>
    <row r="385" spans="1:56" ht="18.75" customHeight="1" x14ac:dyDescent="0.55000000000000004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  <c r="AC385" s="145"/>
      <c r="AD385" s="145"/>
      <c r="AE385" s="145"/>
      <c r="AF385" s="145"/>
      <c r="AG385" s="145"/>
      <c r="AH385" s="145"/>
      <c r="AI385" s="145"/>
      <c r="AJ385" s="145"/>
      <c r="AK385" s="145"/>
      <c r="AL385" s="145"/>
      <c r="AM385" s="145"/>
      <c r="AN385" s="145"/>
      <c r="AO385" s="145"/>
      <c r="AP385" s="145"/>
      <c r="AQ385" s="145"/>
      <c r="AR385" s="145"/>
      <c r="AS385" s="145"/>
      <c r="AT385" s="146"/>
      <c r="AU385" s="146"/>
      <c r="AV385" s="145"/>
      <c r="AW385" s="145"/>
      <c r="AX385" s="145"/>
      <c r="AY385" s="145"/>
      <c r="AZ385" s="145"/>
      <c r="BA385" s="145"/>
      <c r="BB385" s="145"/>
      <c r="BC385" s="145"/>
      <c r="BD385" s="145"/>
    </row>
    <row r="386" spans="1:56" ht="18.75" customHeight="1" x14ac:dyDescent="0.55000000000000004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145"/>
      <c r="AD386" s="145"/>
      <c r="AE386" s="145"/>
      <c r="AF386" s="145"/>
      <c r="AG386" s="145"/>
      <c r="AH386" s="145"/>
      <c r="AI386" s="145"/>
      <c r="AJ386" s="145"/>
      <c r="AK386" s="145"/>
      <c r="AL386" s="145"/>
      <c r="AM386" s="145"/>
      <c r="AN386" s="145"/>
      <c r="AO386" s="145"/>
      <c r="AP386" s="145"/>
      <c r="AQ386" s="145"/>
      <c r="AR386" s="145"/>
      <c r="AS386" s="145"/>
      <c r="AT386" s="146"/>
      <c r="AU386" s="146"/>
      <c r="AV386" s="145"/>
      <c r="AW386" s="145"/>
      <c r="AX386" s="145"/>
      <c r="AY386" s="145"/>
      <c r="AZ386" s="145"/>
      <c r="BA386" s="145"/>
      <c r="BB386" s="145"/>
      <c r="BC386" s="145"/>
      <c r="BD386" s="145"/>
    </row>
    <row r="387" spans="1:56" ht="18.75" customHeight="1" x14ac:dyDescent="0.55000000000000004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  <c r="AC387" s="145"/>
      <c r="AD387" s="145"/>
      <c r="AE387" s="145"/>
      <c r="AF387" s="145"/>
      <c r="AG387" s="145"/>
      <c r="AH387" s="145"/>
      <c r="AI387" s="145"/>
      <c r="AJ387" s="145"/>
      <c r="AK387" s="145"/>
      <c r="AL387" s="145"/>
      <c r="AM387" s="145"/>
      <c r="AN387" s="145"/>
      <c r="AO387" s="145"/>
      <c r="AP387" s="145"/>
      <c r="AQ387" s="145"/>
      <c r="AR387" s="145"/>
      <c r="AS387" s="145"/>
      <c r="AT387" s="146"/>
      <c r="AU387" s="146"/>
      <c r="AV387" s="145"/>
      <c r="AW387" s="145"/>
      <c r="AX387" s="145"/>
      <c r="AY387" s="145"/>
      <c r="AZ387" s="145"/>
      <c r="BA387" s="145"/>
      <c r="BB387" s="145"/>
      <c r="BC387" s="145"/>
      <c r="BD387" s="145"/>
    </row>
    <row r="388" spans="1:56" ht="18.75" customHeight="1" x14ac:dyDescent="0.55000000000000004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  <c r="AC388" s="145"/>
      <c r="AD388" s="145"/>
      <c r="AE388" s="145"/>
      <c r="AF388" s="145"/>
      <c r="AG388" s="145"/>
      <c r="AH388" s="145"/>
      <c r="AI388" s="145"/>
      <c r="AJ388" s="145"/>
      <c r="AK388" s="145"/>
      <c r="AL388" s="145"/>
      <c r="AM388" s="145"/>
      <c r="AN388" s="145"/>
      <c r="AO388" s="145"/>
      <c r="AP388" s="145"/>
      <c r="AQ388" s="145"/>
      <c r="AR388" s="145"/>
      <c r="AS388" s="145"/>
      <c r="AT388" s="146"/>
      <c r="AU388" s="146"/>
      <c r="AV388" s="145"/>
      <c r="AW388" s="145"/>
      <c r="AX388" s="145"/>
      <c r="AY388" s="145"/>
      <c r="AZ388" s="145"/>
      <c r="BA388" s="145"/>
      <c r="BB388" s="145"/>
      <c r="BC388" s="145"/>
      <c r="BD388" s="145"/>
    </row>
    <row r="389" spans="1:56" ht="18.75" customHeight="1" x14ac:dyDescent="0.55000000000000004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  <c r="AC389" s="145"/>
      <c r="AD389" s="145"/>
      <c r="AE389" s="145"/>
      <c r="AF389" s="145"/>
      <c r="AG389" s="145"/>
      <c r="AH389" s="145"/>
      <c r="AI389" s="145"/>
      <c r="AJ389" s="145"/>
      <c r="AK389" s="145"/>
      <c r="AL389" s="145"/>
      <c r="AM389" s="145"/>
      <c r="AN389" s="145"/>
      <c r="AO389" s="145"/>
      <c r="AP389" s="145"/>
      <c r="AQ389" s="145"/>
      <c r="AR389" s="145"/>
      <c r="AS389" s="145"/>
      <c r="AT389" s="146"/>
      <c r="AU389" s="146"/>
      <c r="AV389" s="145"/>
      <c r="AW389" s="145"/>
      <c r="AX389" s="145"/>
      <c r="AY389" s="145"/>
      <c r="AZ389" s="145"/>
      <c r="BA389" s="145"/>
      <c r="BB389" s="145"/>
      <c r="BC389" s="145"/>
      <c r="BD389" s="145"/>
    </row>
    <row r="390" spans="1:56" ht="18.75" customHeight="1" x14ac:dyDescent="0.55000000000000004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  <c r="AC390" s="145"/>
      <c r="AD390" s="145"/>
      <c r="AE390" s="145"/>
      <c r="AF390" s="145"/>
      <c r="AG390" s="145"/>
      <c r="AH390" s="145"/>
      <c r="AI390" s="145"/>
      <c r="AJ390" s="145"/>
      <c r="AK390" s="145"/>
      <c r="AL390" s="145"/>
      <c r="AM390" s="145"/>
      <c r="AN390" s="145"/>
      <c r="AO390" s="145"/>
      <c r="AP390" s="145"/>
      <c r="AQ390" s="145"/>
      <c r="AR390" s="145"/>
      <c r="AS390" s="145"/>
      <c r="AT390" s="146"/>
      <c r="AU390" s="146"/>
      <c r="AV390" s="145"/>
      <c r="AW390" s="145"/>
      <c r="AX390" s="145"/>
      <c r="AY390" s="145"/>
      <c r="AZ390" s="145"/>
      <c r="BA390" s="145"/>
      <c r="BB390" s="145"/>
      <c r="BC390" s="145"/>
      <c r="BD390" s="145"/>
    </row>
    <row r="391" spans="1:56" ht="18.75" customHeight="1" x14ac:dyDescent="0.55000000000000004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  <c r="AC391" s="145"/>
      <c r="AD391" s="145"/>
      <c r="AE391" s="145"/>
      <c r="AF391" s="145"/>
      <c r="AG391" s="145"/>
      <c r="AH391" s="145"/>
      <c r="AI391" s="145"/>
      <c r="AJ391" s="145"/>
      <c r="AK391" s="145"/>
      <c r="AL391" s="145"/>
      <c r="AM391" s="145"/>
      <c r="AN391" s="145"/>
      <c r="AO391" s="145"/>
      <c r="AP391" s="145"/>
      <c r="AQ391" s="145"/>
      <c r="AR391" s="145"/>
      <c r="AS391" s="145"/>
      <c r="AT391" s="146"/>
      <c r="AU391" s="146"/>
      <c r="AV391" s="145"/>
      <c r="AW391" s="145"/>
      <c r="AX391" s="145"/>
      <c r="AY391" s="145"/>
      <c r="AZ391" s="145"/>
      <c r="BA391" s="145"/>
      <c r="BB391" s="145"/>
      <c r="BC391" s="145"/>
      <c r="BD391" s="145"/>
    </row>
    <row r="392" spans="1:56" ht="18.75" customHeight="1" x14ac:dyDescent="0.55000000000000004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  <c r="AC392" s="145"/>
      <c r="AD392" s="145"/>
      <c r="AE392" s="145"/>
      <c r="AF392" s="145"/>
      <c r="AG392" s="145"/>
      <c r="AH392" s="145"/>
      <c r="AI392" s="145"/>
      <c r="AJ392" s="145"/>
      <c r="AK392" s="145"/>
      <c r="AL392" s="145"/>
      <c r="AM392" s="145"/>
      <c r="AN392" s="145"/>
      <c r="AO392" s="145"/>
      <c r="AP392" s="145"/>
      <c r="AQ392" s="145"/>
      <c r="AR392" s="145"/>
      <c r="AS392" s="145"/>
      <c r="AT392" s="146"/>
      <c r="AU392" s="146"/>
      <c r="AV392" s="145"/>
      <c r="AW392" s="145"/>
      <c r="AX392" s="145"/>
      <c r="AY392" s="145"/>
      <c r="AZ392" s="145"/>
      <c r="BA392" s="145"/>
      <c r="BB392" s="145"/>
      <c r="BC392" s="145"/>
      <c r="BD392" s="145"/>
    </row>
    <row r="393" spans="1:56" ht="18.75" customHeight="1" x14ac:dyDescent="0.55000000000000004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  <c r="AC393" s="145"/>
      <c r="AD393" s="145"/>
      <c r="AE393" s="145"/>
      <c r="AF393" s="145"/>
      <c r="AG393" s="145"/>
      <c r="AH393" s="145"/>
      <c r="AI393" s="145"/>
      <c r="AJ393" s="145"/>
      <c r="AK393" s="145"/>
      <c r="AL393" s="145"/>
      <c r="AM393" s="145"/>
      <c r="AN393" s="145"/>
      <c r="AO393" s="145"/>
      <c r="AP393" s="145"/>
      <c r="AQ393" s="145"/>
      <c r="AR393" s="145"/>
      <c r="AS393" s="145"/>
      <c r="AT393" s="146"/>
      <c r="AU393" s="146"/>
      <c r="AV393" s="145"/>
      <c r="AW393" s="145"/>
      <c r="AX393" s="145"/>
      <c r="AY393" s="145"/>
      <c r="AZ393" s="145"/>
      <c r="BA393" s="145"/>
      <c r="BB393" s="145"/>
      <c r="BC393" s="145"/>
      <c r="BD393" s="145"/>
    </row>
    <row r="394" spans="1:56" ht="18.75" customHeight="1" x14ac:dyDescent="0.55000000000000004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  <c r="AC394" s="145"/>
      <c r="AD394" s="145"/>
      <c r="AE394" s="145"/>
      <c r="AF394" s="145"/>
      <c r="AG394" s="145"/>
      <c r="AH394" s="145"/>
      <c r="AI394" s="145"/>
      <c r="AJ394" s="145"/>
      <c r="AK394" s="145"/>
      <c r="AL394" s="145"/>
      <c r="AM394" s="145"/>
      <c r="AN394" s="145"/>
      <c r="AO394" s="145"/>
      <c r="AP394" s="145"/>
      <c r="AQ394" s="145"/>
      <c r="AR394" s="145"/>
      <c r="AS394" s="145"/>
      <c r="AT394" s="146"/>
      <c r="AU394" s="146"/>
      <c r="AV394" s="145"/>
      <c r="AW394" s="145"/>
      <c r="AX394" s="145"/>
      <c r="AY394" s="145"/>
      <c r="AZ394" s="145"/>
      <c r="BA394" s="145"/>
      <c r="BB394" s="145"/>
      <c r="BC394" s="145"/>
      <c r="BD394" s="145"/>
    </row>
    <row r="395" spans="1:56" ht="18.75" customHeight="1" x14ac:dyDescent="0.55000000000000004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  <c r="AC395" s="145"/>
      <c r="AD395" s="145"/>
      <c r="AE395" s="145"/>
      <c r="AF395" s="145"/>
      <c r="AG395" s="145"/>
      <c r="AH395" s="145"/>
      <c r="AI395" s="145"/>
      <c r="AJ395" s="145"/>
      <c r="AK395" s="145"/>
      <c r="AL395" s="145"/>
      <c r="AM395" s="145"/>
      <c r="AN395" s="145"/>
      <c r="AO395" s="145"/>
      <c r="AP395" s="145"/>
      <c r="AQ395" s="145"/>
      <c r="AR395" s="145"/>
      <c r="AS395" s="145"/>
      <c r="AT395" s="146"/>
      <c r="AU395" s="146"/>
      <c r="AV395" s="145"/>
      <c r="AW395" s="145"/>
      <c r="AX395" s="145"/>
      <c r="AY395" s="145"/>
      <c r="AZ395" s="145"/>
      <c r="BA395" s="145"/>
      <c r="BB395" s="145"/>
      <c r="BC395" s="145"/>
      <c r="BD395" s="145"/>
    </row>
    <row r="396" spans="1:56" ht="18.75" customHeight="1" x14ac:dyDescent="0.55000000000000004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  <c r="AC396" s="145"/>
      <c r="AD396" s="145"/>
      <c r="AE396" s="145"/>
      <c r="AF396" s="145"/>
      <c r="AG396" s="145"/>
      <c r="AH396" s="145"/>
      <c r="AI396" s="145"/>
      <c r="AJ396" s="145"/>
      <c r="AK396" s="145"/>
      <c r="AL396" s="145"/>
      <c r="AM396" s="145"/>
      <c r="AN396" s="145"/>
      <c r="AO396" s="145"/>
      <c r="AP396" s="145"/>
      <c r="AQ396" s="145"/>
      <c r="AR396" s="145"/>
      <c r="AS396" s="145"/>
      <c r="AT396" s="146"/>
      <c r="AU396" s="146"/>
      <c r="AV396" s="145"/>
      <c r="AW396" s="145"/>
      <c r="AX396" s="145"/>
      <c r="AY396" s="145"/>
      <c r="AZ396" s="145"/>
      <c r="BA396" s="145"/>
      <c r="BB396" s="145"/>
      <c r="BC396" s="145"/>
      <c r="BD396" s="145"/>
    </row>
    <row r="397" spans="1:56" ht="18.75" customHeight="1" x14ac:dyDescent="0.55000000000000004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  <c r="AC397" s="145"/>
      <c r="AD397" s="145"/>
      <c r="AE397" s="145"/>
      <c r="AF397" s="145"/>
      <c r="AG397" s="145"/>
      <c r="AH397" s="145"/>
      <c r="AI397" s="145"/>
      <c r="AJ397" s="145"/>
      <c r="AK397" s="145"/>
      <c r="AL397" s="145"/>
      <c r="AM397" s="145"/>
      <c r="AN397" s="145"/>
      <c r="AO397" s="145"/>
      <c r="AP397" s="145"/>
      <c r="AQ397" s="145"/>
      <c r="AR397" s="145"/>
      <c r="AS397" s="145"/>
      <c r="AT397" s="146"/>
      <c r="AU397" s="146"/>
      <c r="AV397" s="145"/>
      <c r="AW397" s="145"/>
      <c r="AX397" s="145"/>
      <c r="AY397" s="145"/>
      <c r="AZ397" s="145"/>
      <c r="BA397" s="145"/>
      <c r="BB397" s="145"/>
      <c r="BC397" s="145"/>
      <c r="BD397" s="145"/>
    </row>
    <row r="398" spans="1:56" ht="18.75" customHeight="1" x14ac:dyDescent="0.55000000000000004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  <c r="AC398" s="145"/>
      <c r="AD398" s="145"/>
      <c r="AE398" s="145"/>
      <c r="AF398" s="145"/>
      <c r="AG398" s="145"/>
      <c r="AH398" s="145"/>
      <c r="AI398" s="145"/>
      <c r="AJ398" s="145"/>
      <c r="AK398" s="145"/>
      <c r="AL398" s="145"/>
      <c r="AM398" s="145"/>
      <c r="AN398" s="145"/>
      <c r="AO398" s="145"/>
      <c r="AP398" s="145"/>
      <c r="AQ398" s="145"/>
      <c r="AR398" s="145"/>
      <c r="AS398" s="145"/>
      <c r="AT398" s="146"/>
      <c r="AU398" s="146"/>
      <c r="AV398" s="145"/>
      <c r="AW398" s="145"/>
      <c r="AX398" s="145"/>
      <c r="AY398" s="145"/>
      <c r="AZ398" s="145"/>
      <c r="BA398" s="145"/>
      <c r="BB398" s="145"/>
      <c r="BC398" s="145"/>
      <c r="BD398" s="145"/>
    </row>
    <row r="399" spans="1:56" ht="18.75" customHeight="1" x14ac:dyDescent="0.55000000000000004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  <c r="AC399" s="145"/>
      <c r="AD399" s="145"/>
      <c r="AE399" s="145"/>
      <c r="AF399" s="145"/>
      <c r="AG399" s="145"/>
      <c r="AH399" s="145"/>
      <c r="AI399" s="145"/>
      <c r="AJ399" s="145"/>
      <c r="AK399" s="145"/>
      <c r="AL399" s="145"/>
      <c r="AM399" s="145"/>
      <c r="AN399" s="145"/>
      <c r="AO399" s="145"/>
      <c r="AP399" s="145"/>
      <c r="AQ399" s="145"/>
      <c r="AR399" s="145"/>
      <c r="AS399" s="145"/>
      <c r="AT399" s="146"/>
      <c r="AU399" s="146"/>
      <c r="AV399" s="145"/>
      <c r="AW399" s="145"/>
      <c r="AX399" s="145"/>
      <c r="AY399" s="145"/>
      <c r="AZ399" s="145"/>
      <c r="BA399" s="145"/>
      <c r="BB399" s="145"/>
      <c r="BC399" s="145"/>
      <c r="BD399" s="145"/>
    </row>
    <row r="400" spans="1:56" ht="18.75" customHeight="1" x14ac:dyDescent="0.55000000000000004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  <c r="AC400" s="145"/>
      <c r="AD400" s="145"/>
      <c r="AE400" s="145"/>
      <c r="AF400" s="145"/>
      <c r="AG400" s="145"/>
      <c r="AH400" s="145"/>
      <c r="AI400" s="145"/>
      <c r="AJ400" s="145"/>
      <c r="AK400" s="145"/>
      <c r="AL400" s="145"/>
      <c r="AM400" s="145"/>
      <c r="AN400" s="145"/>
      <c r="AO400" s="145"/>
      <c r="AP400" s="145"/>
      <c r="AQ400" s="145"/>
      <c r="AR400" s="145"/>
      <c r="AS400" s="145"/>
      <c r="AT400" s="146"/>
      <c r="AU400" s="146"/>
      <c r="AV400" s="145"/>
      <c r="AW400" s="145"/>
      <c r="AX400" s="145"/>
      <c r="AY400" s="145"/>
      <c r="AZ400" s="145"/>
      <c r="BA400" s="145"/>
      <c r="BB400" s="145"/>
      <c r="BC400" s="145"/>
      <c r="BD400" s="145"/>
    </row>
    <row r="401" spans="1:56" ht="18.75" customHeight="1" x14ac:dyDescent="0.55000000000000004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  <c r="AC401" s="145"/>
      <c r="AD401" s="145"/>
      <c r="AE401" s="145"/>
      <c r="AF401" s="145"/>
      <c r="AG401" s="145"/>
      <c r="AH401" s="145"/>
      <c r="AI401" s="145"/>
      <c r="AJ401" s="145"/>
      <c r="AK401" s="145"/>
      <c r="AL401" s="145"/>
      <c r="AM401" s="145"/>
      <c r="AN401" s="145"/>
      <c r="AO401" s="145"/>
      <c r="AP401" s="145"/>
      <c r="AQ401" s="145"/>
      <c r="AR401" s="145"/>
      <c r="AS401" s="145"/>
      <c r="AT401" s="146"/>
      <c r="AU401" s="146"/>
      <c r="AV401" s="145"/>
      <c r="AW401" s="145"/>
      <c r="AX401" s="145"/>
      <c r="AY401" s="145"/>
      <c r="AZ401" s="145"/>
      <c r="BA401" s="145"/>
      <c r="BB401" s="145"/>
      <c r="BC401" s="145"/>
      <c r="BD401" s="145"/>
    </row>
    <row r="402" spans="1:56" ht="18.75" customHeight="1" x14ac:dyDescent="0.55000000000000004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  <c r="AC402" s="145"/>
      <c r="AD402" s="145"/>
      <c r="AE402" s="145"/>
      <c r="AF402" s="145"/>
      <c r="AG402" s="145"/>
      <c r="AH402" s="145"/>
      <c r="AI402" s="145"/>
      <c r="AJ402" s="145"/>
      <c r="AK402" s="145"/>
      <c r="AL402" s="145"/>
      <c r="AM402" s="145"/>
      <c r="AN402" s="145"/>
      <c r="AO402" s="145"/>
      <c r="AP402" s="145"/>
      <c r="AQ402" s="145"/>
      <c r="AR402" s="145"/>
      <c r="AS402" s="145"/>
      <c r="AT402" s="146"/>
      <c r="AU402" s="146"/>
      <c r="AV402" s="145"/>
      <c r="AW402" s="145"/>
      <c r="AX402" s="145"/>
      <c r="AY402" s="145"/>
      <c r="AZ402" s="145"/>
      <c r="BA402" s="145"/>
      <c r="BB402" s="145"/>
      <c r="BC402" s="145"/>
      <c r="BD402" s="145"/>
    </row>
    <row r="403" spans="1:56" ht="18.75" customHeight="1" x14ac:dyDescent="0.55000000000000004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  <c r="AC403" s="145"/>
      <c r="AD403" s="145"/>
      <c r="AE403" s="145"/>
      <c r="AF403" s="145"/>
      <c r="AG403" s="145"/>
      <c r="AH403" s="145"/>
      <c r="AI403" s="145"/>
      <c r="AJ403" s="145"/>
      <c r="AK403" s="145"/>
      <c r="AL403" s="145"/>
      <c r="AM403" s="145"/>
      <c r="AN403" s="145"/>
      <c r="AO403" s="145"/>
      <c r="AP403" s="145"/>
      <c r="AQ403" s="145"/>
      <c r="AR403" s="145"/>
      <c r="AS403" s="145"/>
      <c r="AT403" s="146"/>
      <c r="AU403" s="146"/>
      <c r="AV403" s="145"/>
      <c r="AW403" s="145"/>
      <c r="AX403" s="145"/>
      <c r="AY403" s="145"/>
      <c r="AZ403" s="145"/>
      <c r="BA403" s="145"/>
      <c r="BB403" s="145"/>
      <c r="BC403" s="145"/>
      <c r="BD403" s="145"/>
    </row>
    <row r="404" spans="1:56" ht="18.75" customHeight="1" x14ac:dyDescent="0.55000000000000004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  <c r="AC404" s="145"/>
      <c r="AD404" s="145"/>
      <c r="AE404" s="145"/>
      <c r="AF404" s="145"/>
      <c r="AG404" s="145"/>
      <c r="AH404" s="145"/>
      <c r="AI404" s="145"/>
      <c r="AJ404" s="145"/>
      <c r="AK404" s="145"/>
      <c r="AL404" s="145"/>
      <c r="AM404" s="145"/>
      <c r="AN404" s="145"/>
      <c r="AO404" s="145"/>
      <c r="AP404" s="145"/>
      <c r="AQ404" s="145"/>
      <c r="AR404" s="145"/>
      <c r="AS404" s="145"/>
      <c r="AT404" s="146"/>
      <c r="AU404" s="146"/>
      <c r="AV404" s="145"/>
      <c r="AW404" s="145"/>
      <c r="AX404" s="145"/>
      <c r="AY404" s="145"/>
      <c r="AZ404" s="145"/>
      <c r="BA404" s="145"/>
      <c r="BB404" s="145"/>
      <c r="BC404" s="145"/>
      <c r="BD404" s="145"/>
    </row>
    <row r="405" spans="1:56" ht="18.75" customHeight="1" x14ac:dyDescent="0.55000000000000004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  <c r="AE405" s="145"/>
      <c r="AF405" s="145"/>
      <c r="AG405" s="145"/>
      <c r="AH405" s="145"/>
      <c r="AI405" s="145"/>
      <c r="AJ405" s="145"/>
      <c r="AK405" s="145"/>
      <c r="AL405" s="145"/>
      <c r="AM405" s="145"/>
      <c r="AN405" s="145"/>
      <c r="AO405" s="145"/>
      <c r="AP405" s="145"/>
      <c r="AQ405" s="145"/>
      <c r="AR405" s="145"/>
      <c r="AS405" s="145"/>
      <c r="AT405" s="146"/>
      <c r="AU405" s="146"/>
      <c r="AV405" s="145"/>
      <c r="AW405" s="145"/>
      <c r="AX405" s="145"/>
      <c r="AY405" s="145"/>
      <c r="AZ405" s="145"/>
      <c r="BA405" s="145"/>
      <c r="BB405" s="145"/>
      <c r="BC405" s="145"/>
      <c r="BD405" s="145"/>
    </row>
    <row r="406" spans="1:56" ht="18.75" customHeight="1" x14ac:dyDescent="0.55000000000000004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  <c r="AC406" s="145"/>
      <c r="AD406" s="145"/>
      <c r="AE406" s="145"/>
      <c r="AF406" s="145"/>
      <c r="AG406" s="145"/>
      <c r="AH406" s="145"/>
      <c r="AI406" s="145"/>
      <c r="AJ406" s="145"/>
      <c r="AK406" s="145"/>
      <c r="AL406" s="145"/>
      <c r="AM406" s="145"/>
      <c r="AN406" s="145"/>
      <c r="AO406" s="145"/>
      <c r="AP406" s="145"/>
      <c r="AQ406" s="145"/>
      <c r="AR406" s="145"/>
      <c r="AS406" s="145"/>
      <c r="AT406" s="146"/>
      <c r="AU406" s="146"/>
      <c r="AV406" s="145"/>
      <c r="AW406" s="145"/>
      <c r="AX406" s="145"/>
      <c r="AY406" s="145"/>
      <c r="AZ406" s="145"/>
      <c r="BA406" s="145"/>
      <c r="BB406" s="145"/>
      <c r="BC406" s="145"/>
      <c r="BD406" s="145"/>
    </row>
    <row r="407" spans="1:56" ht="18.75" customHeight="1" x14ac:dyDescent="0.55000000000000004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  <c r="AC407" s="145"/>
      <c r="AD407" s="145"/>
      <c r="AE407" s="145"/>
      <c r="AF407" s="145"/>
      <c r="AG407" s="145"/>
      <c r="AH407" s="145"/>
      <c r="AI407" s="145"/>
      <c r="AJ407" s="145"/>
      <c r="AK407" s="145"/>
      <c r="AL407" s="145"/>
      <c r="AM407" s="145"/>
      <c r="AN407" s="145"/>
      <c r="AO407" s="145"/>
      <c r="AP407" s="145"/>
      <c r="AQ407" s="145"/>
      <c r="AR407" s="145"/>
      <c r="AS407" s="145"/>
      <c r="AT407" s="146"/>
      <c r="AU407" s="146"/>
      <c r="AV407" s="145"/>
      <c r="AW407" s="145"/>
      <c r="AX407" s="145"/>
      <c r="AY407" s="145"/>
      <c r="AZ407" s="145"/>
      <c r="BA407" s="145"/>
      <c r="BB407" s="145"/>
      <c r="BC407" s="145"/>
      <c r="BD407" s="145"/>
    </row>
    <row r="408" spans="1:56" ht="18.75" customHeight="1" x14ac:dyDescent="0.55000000000000004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  <c r="AC408" s="145"/>
      <c r="AD408" s="145"/>
      <c r="AE408" s="145"/>
      <c r="AF408" s="145"/>
      <c r="AG408" s="145"/>
      <c r="AH408" s="145"/>
      <c r="AI408" s="145"/>
      <c r="AJ408" s="145"/>
      <c r="AK408" s="145"/>
      <c r="AL408" s="145"/>
      <c r="AM408" s="145"/>
      <c r="AN408" s="145"/>
      <c r="AO408" s="145"/>
      <c r="AP408" s="145"/>
      <c r="AQ408" s="145"/>
      <c r="AR408" s="145"/>
      <c r="AS408" s="145"/>
      <c r="AT408" s="146"/>
      <c r="AU408" s="146"/>
      <c r="AV408" s="145"/>
      <c r="AW408" s="145"/>
      <c r="AX408" s="145"/>
      <c r="AY408" s="145"/>
      <c r="AZ408" s="145"/>
      <c r="BA408" s="145"/>
      <c r="BB408" s="145"/>
      <c r="BC408" s="145"/>
      <c r="BD408" s="145"/>
    </row>
    <row r="409" spans="1:56" ht="18.75" customHeight="1" x14ac:dyDescent="0.55000000000000004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  <c r="AC409" s="145"/>
      <c r="AD409" s="145"/>
      <c r="AE409" s="145"/>
      <c r="AF409" s="145"/>
      <c r="AG409" s="145"/>
      <c r="AH409" s="145"/>
      <c r="AI409" s="145"/>
      <c r="AJ409" s="145"/>
      <c r="AK409" s="145"/>
      <c r="AL409" s="145"/>
      <c r="AM409" s="145"/>
      <c r="AN409" s="145"/>
      <c r="AO409" s="145"/>
      <c r="AP409" s="145"/>
      <c r="AQ409" s="145"/>
      <c r="AR409" s="145"/>
      <c r="AS409" s="145"/>
      <c r="AT409" s="146"/>
      <c r="AU409" s="146"/>
      <c r="AV409" s="145"/>
      <c r="AW409" s="145"/>
      <c r="AX409" s="145"/>
      <c r="AY409" s="145"/>
      <c r="AZ409" s="145"/>
      <c r="BA409" s="145"/>
      <c r="BB409" s="145"/>
      <c r="BC409" s="145"/>
      <c r="BD409" s="145"/>
    </row>
    <row r="410" spans="1:56" ht="18.75" customHeight="1" x14ac:dyDescent="0.55000000000000004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  <c r="AC410" s="145"/>
      <c r="AD410" s="145"/>
      <c r="AE410" s="145"/>
      <c r="AF410" s="145"/>
      <c r="AG410" s="145"/>
      <c r="AH410" s="145"/>
      <c r="AI410" s="145"/>
      <c r="AJ410" s="145"/>
      <c r="AK410" s="145"/>
      <c r="AL410" s="145"/>
      <c r="AM410" s="145"/>
      <c r="AN410" s="145"/>
      <c r="AO410" s="145"/>
      <c r="AP410" s="145"/>
      <c r="AQ410" s="145"/>
      <c r="AR410" s="145"/>
      <c r="AS410" s="145"/>
      <c r="AT410" s="146"/>
      <c r="AU410" s="146"/>
      <c r="AV410" s="145"/>
      <c r="AW410" s="145"/>
      <c r="AX410" s="145"/>
      <c r="AY410" s="145"/>
      <c r="AZ410" s="145"/>
      <c r="BA410" s="145"/>
      <c r="BB410" s="145"/>
      <c r="BC410" s="145"/>
      <c r="BD410" s="145"/>
    </row>
    <row r="411" spans="1:56" ht="18.75" customHeight="1" x14ac:dyDescent="0.55000000000000004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  <c r="AC411" s="145"/>
      <c r="AD411" s="145"/>
      <c r="AE411" s="145"/>
      <c r="AF411" s="145"/>
      <c r="AG411" s="145"/>
      <c r="AH411" s="145"/>
      <c r="AI411" s="145"/>
      <c r="AJ411" s="145"/>
      <c r="AK411" s="145"/>
      <c r="AL411" s="145"/>
      <c r="AM411" s="145"/>
      <c r="AN411" s="145"/>
      <c r="AO411" s="145"/>
      <c r="AP411" s="145"/>
      <c r="AQ411" s="145"/>
      <c r="AR411" s="145"/>
      <c r="AS411" s="145"/>
      <c r="AT411" s="146"/>
      <c r="AU411" s="146"/>
      <c r="AV411" s="145"/>
      <c r="AW411" s="145"/>
      <c r="AX411" s="145"/>
      <c r="AY411" s="145"/>
      <c r="AZ411" s="145"/>
      <c r="BA411" s="145"/>
      <c r="BB411" s="145"/>
      <c r="BC411" s="145"/>
      <c r="BD411" s="145"/>
    </row>
    <row r="412" spans="1:56" ht="18.75" customHeight="1" x14ac:dyDescent="0.55000000000000004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  <c r="AC412" s="145"/>
      <c r="AD412" s="145"/>
      <c r="AE412" s="145"/>
      <c r="AF412" s="145"/>
      <c r="AG412" s="145"/>
      <c r="AH412" s="145"/>
      <c r="AI412" s="145"/>
      <c r="AJ412" s="145"/>
      <c r="AK412" s="145"/>
      <c r="AL412" s="145"/>
      <c r="AM412" s="145"/>
      <c r="AN412" s="145"/>
      <c r="AO412" s="145"/>
      <c r="AP412" s="145"/>
      <c r="AQ412" s="145"/>
      <c r="AR412" s="145"/>
      <c r="AS412" s="145"/>
      <c r="AT412" s="146"/>
      <c r="AU412" s="146"/>
      <c r="AV412" s="145"/>
      <c r="AW412" s="145"/>
      <c r="AX412" s="145"/>
      <c r="AY412" s="145"/>
      <c r="AZ412" s="145"/>
      <c r="BA412" s="145"/>
      <c r="BB412" s="145"/>
      <c r="BC412" s="145"/>
      <c r="BD412" s="145"/>
    </row>
    <row r="413" spans="1:56" ht="18.75" customHeight="1" x14ac:dyDescent="0.55000000000000004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  <c r="AE413" s="145"/>
      <c r="AF413" s="145"/>
      <c r="AG413" s="145"/>
      <c r="AH413" s="145"/>
      <c r="AI413" s="145"/>
      <c r="AJ413" s="145"/>
      <c r="AK413" s="145"/>
      <c r="AL413" s="145"/>
      <c r="AM413" s="145"/>
      <c r="AN413" s="145"/>
      <c r="AO413" s="145"/>
      <c r="AP413" s="145"/>
      <c r="AQ413" s="145"/>
      <c r="AR413" s="145"/>
      <c r="AS413" s="145"/>
      <c r="AT413" s="146"/>
      <c r="AU413" s="146"/>
      <c r="AV413" s="145"/>
      <c r="AW413" s="145"/>
      <c r="AX413" s="145"/>
      <c r="AY413" s="145"/>
      <c r="AZ413" s="145"/>
      <c r="BA413" s="145"/>
      <c r="BB413" s="145"/>
      <c r="BC413" s="145"/>
      <c r="BD413" s="145"/>
    </row>
    <row r="414" spans="1:56" ht="18.75" customHeight="1" x14ac:dyDescent="0.55000000000000004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  <c r="AC414" s="145"/>
      <c r="AD414" s="145"/>
      <c r="AE414" s="145"/>
      <c r="AF414" s="145"/>
      <c r="AG414" s="145"/>
      <c r="AH414" s="145"/>
      <c r="AI414" s="145"/>
      <c r="AJ414" s="145"/>
      <c r="AK414" s="145"/>
      <c r="AL414" s="145"/>
      <c r="AM414" s="145"/>
      <c r="AN414" s="145"/>
      <c r="AO414" s="145"/>
      <c r="AP414" s="145"/>
      <c r="AQ414" s="145"/>
      <c r="AR414" s="145"/>
      <c r="AS414" s="145"/>
      <c r="AT414" s="146"/>
      <c r="AU414" s="146"/>
      <c r="AV414" s="145"/>
      <c r="AW414" s="145"/>
      <c r="AX414" s="145"/>
      <c r="AY414" s="145"/>
      <c r="AZ414" s="145"/>
      <c r="BA414" s="145"/>
      <c r="BB414" s="145"/>
      <c r="BC414" s="145"/>
      <c r="BD414" s="145"/>
    </row>
    <row r="415" spans="1:56" ht="18.75" customHeight="1" x14ac:dyDescent="0.55000000000000004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  <c r="AC415" s="145"/>
      <c r="AD415" s="145"/>
      <c r="AE415" s="145"/>
      <c r="AF415" s="145"/>
      <c r="AG415" s="145"/>
      <c r="AH415" s="145"/>
      <c r="AI415" s="145"/>
      <c r="AJ415" s="145"/>
      <c r="AK415" s="145"/>
      <c r="AL415" s="145"/>
      <c r="AM415" s="145"/>
      <c r="AN415" s="145"/>
      <c r="AO415" s="145"/>
      <c r="AP415" s="145"/>
      <c r="AQ415" s="145"/>
      <c r="AR415" s="145"/>
      <c r="AS415" s="145"/>
      <c r="AT415" s="146"/>
      <c r="AU415" s="146"/>
      <c r="AV415" s="145"/>
      <c r="AW415" s="145"/>
      <c r="AX415" s="145"/>
      <c r="AY415" s="145"/>
      <c r="AZ415" s="145"/>
      <c r="BA415" s="145"/>
      <c r="BB415" s="145"/>
      <c r="BC415" s="145"/>
      <c r="BD415" s="145"/>
    </row>
    <row r="416" spans="1:56" ht="18.75" customHeight="1" x14ac:dyDescent="0.55000000000000004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  <c r="AC416" s="145"/>
      <c r="AD416" s="145"/>
      <c r="AE416" s="145"/>
      <c r="AF416" s="145"/>
      <c r="AG416" s="145"/>
      <c r="AH416" s="145"/>
      <c r="AI416" s="145"/>
      <c r="AJ416" s="145"/>
      <c r="AK416" s="145"/>
      <c r="AL416" s="145"/>
      <c r="AM416" s="145"/>
      <c r="AN416" s="145"/>
      <c r="AO416" s="145"/>
      <c r="AP416" s="145"/>
      <c r="AQ416" s="145"/>
      <c r="AR416" s="145"/>
      <c r="AS416" s="145"/>
      <c r="AT416" s="146"/>
      <c r="AU416" s="146"/>
      <c r="AV416" s="145"/>
      <c r="AW416" s="145"/>
      <c r="AX416" s="145"/>
      <c r="AY416" s="145"/>
      <c r="AZ416" s="145"/>
      <c r="BA416" s="145"/>
      <c r="BB416" s="145"/>
      <c r="BC416" s="145"/>
      <c r="BD416" s="145"/>
    </row>
    <row r="417" spans="1:56" ht="18.75" customHeight="1" x14ac:dyDescent="0.55000000000000004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  <c r="AC417" s="145"/>
      <c r="AD417" s="145"/>
      <c r="AE417" s="145"/>
      <c r="AF417" s="145"/>
      <c r="AG417" s="145"/>
      <c r="AH417" s="145"/>
      <c r="AI417" s="145"/>
      <c r="AJ417" s="145"/>
      <c r="AK417" s="145"/>
      <c r="AL417" s="145"/>
      <c r="AM417" s="145"/>
      <c r="AN417" s="145"/>
      <c r="AO417" s="145"/>
      <c r="AP417" s="145"/>
      <c r="AQ417" s="145"/>
      <c r="AR417" s="145"/>
      <c r="AS417" s="145"/>
      <c r="AT417" s="146"/>
      <c r="AU417" s="146"/>
      <c r="AV417" s="145"/>
      <c r="AW417" s="145"/>
      <c r="AX417" s="145"/>
      <c r="AY417" s="145"/>
      <c r="AZ417" s="145"/>
      <c r="BA417" s="145"/>
      <c r="BB417" s="145"/>
      <c r="BC417" s="145"/>
      <c r="BD417" s="145"/>
    </row>
    <row r="418" spans="1:56" ht="18.75" customHeight="1" x14ac:dyDescent="0.55000000000000004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  <c r="AC418" s="145"/>
      <c r="AD418" s="145"/>
      <c r="AE418" s="145"/>
      <c r="AF418" s="145"/>
      <c r="AG418" s="145"/>
      <c r="AH418" s="145"/>
      <c r="AI418" s="145"/>
      <c r="AJ418" s="145"/>
      <c r="AK418" s="145"/>
      <c r="AL418" s="145"/>
      <c r="AM418" s="145"/>
      <c r="AN418" s="145"/>
      <c r="AO418" s="145"/>
      <c r="AP418" s="145"/>
      <c r="AQ418" s="145"/>
      <c r="AR418" s="145"/>
      <c r="AS418" s="145"/>
      <c r="AT418" s="146"/>
      <c r="AU418" s="146"/>
      <c r="AV418" s="145"/>
      <c r="AW418" s="145"/>
      <c r="AX418" s="145"/>
      <c r="AY418" s="145"/>
      <c r="AZ418" s="145"/>
      <c r="BA418" s="145"/>
      <c r="BB418" s="145"/>
      <c r="BC418" s="145"/>
      <c r="BD418" s="145"/>
    </row>
    <row r="419" spans="1:56" ht="18.75" customHeight="1" x14ac:dyDescent="0.55000000000000004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  <c r="AC419" s="145"/>
      <c r="AD419" s="145"/>
      <c r="AE419" s="145"/>
      <c r="AF419" s="145"/>
      <c r="AG419" s="145"/>
      <c r="AH419" s="145"/>
      <c r="AI419" s="145"/>
      <c r="AJ419" s="145"/>
      <c r="AK419" s="145"/>
      <c r="AL419" s="145"/>
      <c r="AM419" s="145"/>
      <c r="AN419" s="145"/>
      <c r="AO419" s="145"/>
      <c r="AP419" s="145"/>
      <c r="AQ419" s="145"/>
      <c r="AR419" s="145"/>
      <c r="AS419" s="145"/>
      <c r="AT419" s="146"/>
      <c r="AU419" s="146"/>
      <c r="AV419" s="145"/>
      <c r="AW419" s="145"/>
      <c r="AX419" s="145"/>
      <c r="AY419" s="145"/>
      <c r="AZ419" s="145"/>
      <c r="BA419" s="145"/>
      <c r="BB419" s="145"/>
      <c r="BC419" s="145"/>
      <c r="BD419" s="145"/>
    </row>
    <row r="420" spans="1:56" ht="18.75" customHeight="1" x14ac:dyDescent="0.55000000000000004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  <c r="AC420" s="145"/>
      <c r="AD420" s="145"/>
      <c r="AE420" s="145"/>
      <c r="AF420" s="145"/>
      <c r="AG420" s="145"/>
      <c r="AH420" s="145"/>
      <c r="AI420" s="145"/>
      <c r="AJ420" s="145"/>
      <c r="AK420" s="145"/>
      <c r="AL420" s="145"/>
      <c r="AM420" s="145"/>
      <c r="AN420" s="145"/>
      <c r="AO420" s="145"/>
      <c r="AP420" s="145"/>
      <c r="AQ420" s="145"/>
      <c r="AR420" s="145"/>
      <c r="AS420" s="145"/>
      <c r="AT420" s="146"/>
      <c r="AU420" s="146"/>
      <c r="AV420" s="145"/>
      <c r="AW420" s="145"/>
      <c r="AX420" s="145"/>
      <c r="AY420" s="145"/>
      <c r="AZ420" s="145"/>
      <c r="BA420" s="145"/>
      <c r="BB420" s="145"/>
      <c r="BC420" s="145"/>
      <c r="BD420" s="145"/>
    </row>
    <row r="421" spans="1:56" ht="18.75" customHeight="1" x14ac:dyDescent="0.55000000000000004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  <c r="AC421" s="145"/>
      <c r="AD421" s="145"/>
      <c r="AE421" s="145"/>
      <c r="AF421" s="145"/>
      <c r="AG421" s="145"/>
      <c r="AH421" s="145"/>
      <c r="AI421" s="145"/>
      <c r="AJ421" s="145"/>
      <c r="AK421" s="145"/>
      <c r="AL421" s="145"/>
      <c r="AM421" s="145"/>
      <c r="AN421" s="145"/>
      <c r="AO421" s="145"/>
      <c r="AP421" s="145"/>
      <c r="AQ421" s="145"/>
      <c r="AR421" s="145"/>
      <c r="AS421" s="145"/>
      <c r="AT421" s="146"/>
      <c r="AU421" s="146"/>
      <c r="AV421" s="145"/>
      <c r="AW421" s="145"/>
      <c r="AX421" s="145"/>
      <c r="AY421" s="145"/>
      <c r="AZ421" s="145"/>
      <c r="BA421" s="145"/>
      <c r="BB421" s="145"/>
      <c r="BC421" s="145"/>
      <c r="BD421" s="145"/>
    </row>
    <row r="422" spans="1:56" ht="18.75" customHeight="1" x14ac:dyDescent="0.55000000000000004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  <c r="AC422" s="145"/>
      <c r="AD422" s="145"/>
      <c r="AE422" s="145"/>
      <c r="AF422" s="145"/>
      <c r="AG422" s="145"/>
      <c r="AH422" s="145"/>
      <c r="AI422" s="145"/>
      <c r="AJ422" s="145"/>
      <c r="AK422" s="145"/>
      <c r="AL422" s="145"/>
      <c r="AM422" s="145"/>
      <c r="AN422" s="145"/>
      <c r="AO422" s="145"/>
      <c r="AP422" s="145"/>
      <c r="AQ422" s="145"/>
      <c r="AR422" s="145"/>
      <c r="AS422" s="145"/>
      <c r="AT422" s="146"/>
      <c r="AU422" s="146"/>
      <c r="AV422" s="145"/>
      <c r="AW422" s="145"/>
      <c r="AX422" s="145"/>
      <c r="AY422" s="145"/>
      <c r="AZ422" s="145"/>
      <c r="BA422" s="145"/>
      <c r="BB422" s="145"/>
      <c r="BC422" s="145"/>
      <c r="BD422" s="145"/>
    </row>
    <row r="423" spans="1:56" ht="18.75" customHeight="1" x14ac:dyDescent="0.55000000000000004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  <c r="AC423" s="145"/>
      <c r="AD423" s="145"/>
      <c r="AE423" s="145"/>
      <c r="AF423" s="145"/>
      <c r="AG423" s="145"/>
      <c r="AH423" s="145"/>
      <c r="AI423" s="145"/>
      <c r="AJ423" s="145"/>
      <c r="AK423" s="145"/>
      <c r="AL423" s="145"/>
      <c r="AM423" s="145"/>
      <c r="AN423" s="145"/>
      <c r="AO423" s="145"/>
      <c r="AP423" s="145"/>
      <c r="AQ423" s="145"/>
      <c r="AR423" s="145"/>
      <c r="AS423" s="145"/>
      <c r="AT423" s="146"/>
      <c r="AU423" s="146"/>
      <c r="AV423" s="145"/>
      <c r="AW423" s="145"/>
      <c r="AX423" s="145"/>
      <c r="AY423" s="145"/>
      <c r="AZ423" s="145"/>
      <c r="BA423" s="145"/>
      <c r="BB423" s="145"/>
      <c r="BC423" s="145"/>
      <c r="BD423" s="145"/>
    </row>
    <row r="424" spans="1:56" ht="18.75" customHeight="1" x14ac:dyDescent="0.55000000000000004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  <c r="AC424" s="145"/>
      <c r="AD424" s="145"/>
      <c r="AE424" s="145"/>
      <c r="AF424" s="145"/>
      <c r="AG424" s="145"/>
      <c r="AH424" s="145"/>
      <c r="AI424" s="145"/>
      <c r="AJ424" s="145"/>
      <c r="AK424" s="145"/>
      <c r="AL424" s="145"/>
      <c r="AM424" s="145"/>
      <c r="AN424" s="145"/>
      <c r="AO424" s="145"/>
      <c r="AP424" s="145"/>
      <c r="AQ424" s="145"/>
      <c r="AR424" s="145"/>
      <c r="AS424" s="145"/>
      <c r="AT424" s="146"/>
      <c r="AU424" s="146"/>
      <c r="AV424" s="145"/>
      <c r="AW424" s="145"/>
      <c r="AX424" s="145"/>
      <c r="AY424" s="145"/>
      <c r="AZ424" s="145"/>
      <c r="BA424" s="145"/>
      <c r="BB424" s="145"/>
      <c r="BC424" s="145"/>
      <c r="BD424" s="145"/>
    </row>
    <row r="425" spans="1:56" ht="18.75" customHeight="1" x14ac:dyDescent="0.55000000000000004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  <c r="AE425" s="145"/>
      <c r="AF425" s="145"/>
      <c r="AG425" s="145"/>
      <c r="AH425" s="145"/>
      <c r="AI425" s="145"/>
      <c r="AJ425" s="145"/>
      <c r="AK425" s="145"/>
      <c r="AL425" s="145"/>
      <c r="AM425" s="145"/>
      <c r="AN425" s="145"/>
      <c r="AO425" s="145"/>
      <c r="AP425" s="145"/>
      <c r="AQ425" s="145"/>
      <c r="AR425" s="145"/>
      <c r="AS425" s="145"/>
      <c r="AT425" s="146"/>
      <c r="AU425" s="146"/>
      <c r="AV425" s="145"/>
      <c r="AW425" s="145"/>
      <c r="AX425" s="145"/>
      <c r="AY425" s="145"/>
      <c r="AZ425" s="145"/>
      <c r="BA425" s="145"/>
      <c r="BB425" s="145"/>
      <c r="BC425" s="145"/>
      <c r="BD425" s="145"/>
    </row>
    <row r="426" spans="1:56" ht="18.75" customHeight="1" x14ac:dyDescent="0.55000000000000004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  <c r="AC426" s="145"/>
      <c r="AD426" s="145"/>
      <c r="AE426" s="145"/>
      <c r="AF426" s="145"/>
      <c r="AG426" s="145"/>
      <c r="AH426" s="145"/>
      <c r="AI426" s="145"/>
      <c r="AJ426" s="145"/>
      <c r="AK426" s="145"/>
      <c r="AL426" s="145"/>
      <c r="AM426" s="145"/>
      <c r="AN426" s="145"/>
      <c r="AO426" s="145"/>
      <c r="AP426" s="145"/>
      <c r="AQ426" s="145"/>
      <c r="AR426" s="145"/>
      <c r="AS426" s="145"/>
      <c r="AT426" s="146"/>
      <c r="AU426" s="146"/>
      <c r="AV426" s="145"/>
      <c r="AW426" s="145"/>
      <c r="AX426" s="145"/>
      <c r="AY426" s="145"/>
      <c r="AZ426" s="145"/>
      <c r="BA426" s="145"/>
      <c r="BB426" s="145"/>
      <c r="BC426" s="145"/>
      <c r="BD426" s="145"/>
    </row>
    <row r="427" spans="1:56" ht="18.75" customHeight="1" x14ac:dyDescent="0.55000000000000004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  <c r="AC427" s="145"/>
      <c r="AD427" s="145"/>
      <c r="AE427" s="145"/>
      <c r="AF427" s="145"/>
      <c r="AG427" s="145"/>
      <c r="AH427" s="145"/>
      <c r="AI427" s="145"/>
      <c r="AJ427" s="145"/>
      <c r="AK427" s="145"/>
      <c r="AL427" s="145"/>
      <c r="AM427" s="145"/>
      <c r="AN427" s="145"/>
      <c r="AO427" s="145"/>
      <c r="AP427" s="145"/>
      <c r="AQ427" s="145"/>
      <c r="AR427" s="145"/>
      <c r="AS427" s="145"/>
      <c r="AT427" s="146"/>
      <c r="AU427" s="146"/>
      <c r="AV427" s="145"/>
      <c r="AW427" s="145"/>
      <c r="AX427" s="145"/>
      <c r="AY427" s="145"/>
      <c r="AZ427" s="145"/>
      <c r="BA427" s="145"/>
      <c r="BB427" s="145"/>
      <c r="BC427" s="145"/>
      <c r="BD427" s="145"/>
    </row>
    <row r="428" spans="1:56" ht="18.75" customHeight="1" x14ac:dyDescent="0.55000000000000004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  <c r="AC428" s="145"/>
      <c r="AD428" s="145"/>
      <c r="AE428" s="145"/>
      <c r="AF428" s="145"/>
      <c r="AG428" s="145"/>
      <c r="AH428" s="145"/>
      <c r="AI428" s="145"/>
      <c r="AJ428" s="145"/>
      <c r="AK428" s="145"/>
      <c r="AL428" s="145"/>
      <c r="AM428" s="145"/>
      <c r="AN428" s="145"/>
      <c r="AO428" s="145"/>
      <c r="AP428" s="145"/>
      <c r="AQ428" s="145"/>
      <c r="AR428" s="145"/>
      <c r="AS428" s="145"/>
      <c r="AT428" s="146"/>
      <c r="AU428" s="146"/>
      <c r="AV428" s="145"/>
      <c r="AW428" s="145"/>
      <c r="AX428" s="145"/>
      <c r="AY428" s="145"/>
      <c r="AZ428" s="145"/>
      <c r="BA428" s="145"/>
      <c r="BB428" s="145"/>
      <c r="BC428" s="145"/>
      <c r="BD428" s="145"/>
    </row>
    <row r="429" spans="1:56" ht="18.75" customHeight="1" x14ac:dyDescent="0.55000000000000004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  <c r="AC429" s="145"/>
      <c r="AD429" s="145"/>
      <c r="AE429" s="145"/>
      <c r="AF429" s="145"/>
      <c r="AG429" s="145"/>
      <c r="AH429" s="145"/>
      <c r="AI429" s="145"/>
      <c r="AJ429" s="145"/>
      <c r="AK429" s="145"/>
      <c r="AL429" s="145"/>
      <c r="AM429" s="145"/>
      <c r="AN429" s="145"/>
      <c r="AO429" s="145"/>
      <c r="AP429" s="145"/>
      <c r="AQ429" s="145"/>
      <c r="AR429" s="145"/>
      <c r="AS429" s="145"/>
      <c r="AT429" s="146"/>
      <c r="AU429" s="146"/>
      <c r="AV429" s="145"/>
      <c r="AW429" s="145"/>
      <c r="AX429" s="145"/>
      <c r="AY429" s="145"/>
      <c r="AZ429" s="145"/>
      <c r="BA429" s="145"/>
      <c r="BB429" s="145"/>
      <c r="BC429" s="145"/>
      <c r="BD429" s="145"/>
    </row>
    <row r="430" spans="1:56" ht="18.75" customHeight="1" x14ac:dyDescent="0.55000000000000004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  <c r="AE430" s="145"/>
      <c r="AF430" s="145"/>
      <c r="AG430" s="145"/>
      <c r="AH430" s="145"/>
      <c r="AI430" s="145"/>
      <c r="AJ430" s="145"/>
      <c r="AK430" s="145"/>
      <c r="AL430" s="145"/>
      <c r="AM430" s="145"/>
      <c r="AN430" s="145"/>
      <c r="AO430" s="145"/>
      <c r="AP430" s="145"/>
      <c r="AQ430" s="145"/>
      <c r="AR430" s="145"/>
      <c r="AS430" s="145"/>
      <c r="AT430" s="146"/>
      <c r="AU430" s="146"/>
      <c r="AV430" s="145"/>
      <c r="AW430" s="145"/>
      <c r="AX430" s="145"/>
      <c r="AY430" s="145"/>
      <c r="AZ430" s="145"/>
      <c r="BA430" s="145"/>
      <c r="BB430" s="145"/>
      <c r="BC430" s="145"/>
      <c r="BD430" s="145"/>
    </row>
    <row r="431" spans="1:56" ht="18.75" customHeight="1" x14ac:dyDescent="0.55000000000000004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  <c r="AC431" s="145"/>
      <c r="AD431" s="145"/>
      <c r="AE431" s="145"/>
      <c r="AF431" s="145"/>
      <c r="AG431" s="145"/>
      <c r="AH431" s="145"/>
      <c r="AI431" s="145"/>
      <c r="AJ431" s="145"/>
      <c r="AK431" s="145"/>
      <c r="AL431" s="145"/>
      <c r="AM431" s="145"/>
      <c r="AN431" s="145"/>
      <c r="AO431" s="145"/>
      <c r="AP431" s="145"/>
      <c r="AQ431" s="145"/>
      <c r="AR431" s="145"/>
      <c r="AS431" s="145"/>
      <c r="AT431" s="146"/>
      <c r="AU431" s="146"/>
      <c r="AV431" s="145"/>
      <c r="AW431" s="145"/>
      <c r="AX431" s="145"/>
      <c r="AY431" s="145"/>
      <c r="AZ431" s="145"/>
      <c r="BA431" s="145"/>
      <c r="BB431" s="145"/>
      <c r="BC431" s="145"/>
      <c r="BD431" s="145"/>
    </row>
    <row r="432" spans="1:56" ht="18.75" customHeight="1" x14ac:dyDescent="0.55000000000000004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  <c r="AC432" s="145"/>
      <c r="AD432" s="145"/>
      <c r="AE432" s="145"/>
      <c r="AF432" s="145"/>
      <c r="AG432" s="145"/>
      <c r="AH432" s="145"/>
      <c r="AI432" s="145"/>
      <c r="AJ432" s="145"/>
      <c r="AK432" s="145"/>
      <c r="AL432" s="145"/>
      <c r="AM432" s="145"/>
      <c r="AN432" s="145"/>
      <c r="AO432" s="145"/>
      <c r="AP432" s="145"/>
      <c r="AQ432" s="145"/>
      <c r="AR432" s="145"/>
      <c r="AS432" s="145"/>
      <c r="AT432" s="146"/>
      <c r="AU432" s="146"/>
      <c r="AV432" s="145"/>
      <c r="AW432" s="145"/>
      <c r="AX432" s="145"/>
      <c r="AY432" s="145"/>
      <c r="AZ432" s="145"/>
      <c r="BA432" s="145"/>
      <c r="BB432" s="145"/>
      <c r="BC432" s="145"/>
      <c r="BD432" s="145"/>
    </row>
    <row r="433" spans="1:56" ht="18.75" customHeight="1" x14ac:dyDescent="0.55000000000000004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  <c r="AC433" s="145"/>
      <c r="AD433" s="145"/>
      <c r="AE433" s="145"/>
      <c r="AF433" s="145"/>
      <c r="AG433" s="145"/>
      <c r="AH433" s="145"/>
      <c r="AI433" s="145"/>
      <c r="AJ433" s="145"/>
      <c r="AK433" s="145"/>
      <c r="AL433" s="145"/>
      <c r="AM433" s="145"/>
      <c r="AN433" s="145"/>
      <c r="AO433" s="145"/>
      <c r="AP433" s="145"/>
      <c r="AQ433" s="145"/>
      <c r="AR433" s="145"/>
      <c r="AS433" s="145"/>
      <c r="AT433" s="146"/>
      <c r="AU433" s="146"/>
      <c r="AV433" s="145"/>
      <c r="AW433" s="145"/>
      <c r="AX433" s="145"/>
      <c r="AY433" s="145"/>
      <c r="AZ433" s="145"/>
      <c r="BA433" s="145"/>
      <c r="BB433" s="145"/>
      <c r="BC433" s="145"/>
      <c r="BD433" s="145"/>
    </row>
    <row r="434" spans="1:56" ht="18.75" customHeight="1" x14ac:dyDescent="0.55000000000000004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  <c r="AC434" s="145"/>
      <c r="AD434" s="145"/>
      <c r="AE434" s="145"/>
      <c r="AF434" s="145"/>
      <c r="AG434" s="145"/>
      <c r="AH434" s="145"/>
      <c r="AI434" s="145"/>
      <c r="AJ434" s="145"/>
      <c r="AK434" s="145"/>
      <c r="AL434" s="145"/>
      <c r="AM434" s="145"/>
      <c r="AN434" s="145"/>
      <c r="AO434" s="145"/>
      <c r="AP434" s="145"/>
      <c r="AQ434" s="145"/>
      <c r="AR434" s="145"/>
      <c r="AS434" s="145"/>
      <c r="AT434" s="146"/>
      <c r="AU434" s="146"/>
      <c r="AV434" s="145"/>
      <c r="AW434" s="145"/>
      <c r="AX434" s="145"/>
      <c r="AY434" s="145"/>
      <c r="AZ434" s="145"/>
      <c r="BA434" s="145"/>
      <c r="BB434" s="145"/>
      <c r="BC434" s="145"/>
      <c r="BD434" s="145"/>
    </row>
    <row r="435" spans="1:56" ht="18.75" customHeight="1" x14ac:dyDescent="0.55000000000000004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  <c r="AC435" s="145"/>
      <c r="AD435" s="145"/>
      <c r="AE435" s="145"/>
      <c r="AF435" s="145"/>
      <c r="AG435" s="145"/>
      <c r="AH435" s="145"/>
      <c r="AI435" s="145"/>
      <c r="AJ435" s="145"/>
      <c r="AK435" s="145"/>
      <c r="AL435" s="145"/>
      <c r="AM435" s="145"/>
      <c r="AN435" s="145"/>
      <c r="AO435" s="145"/>
      <c r="AP435" s="145"/>
      <c r="AQ435" s="145"/>
      <c r="AR435" s="145"/>
      <c r="AS435" s="145"/>
      <c r="AT435" s="146"/>
      <c r="AU435" s="146"/>
      <c r="AV435" s="145"/>
      <c r="AW435" s="145"/>
      <c r="AX435" s="145"/>
      <c r="AY435" s="145"/>
      <c r="AZ435" s="145"/>
      <c r="BA435" s="145"/>
      <c r="BB435" s="145"/>
      <c r="BC435" s="145"/>
      <c r="BD435" s="145"/>
    </row>
    <row r="436" spans="1:56" ht="18.75" customHeight="1" x14ac:dyDescent="0.55000000000000004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  <c r="AE436" s="145"/>
      <c r="AF436" s="145"/>
      <c r="AG436" s="145"/>
      <c r="AH436" s="145"/>
      <c r="AI436" s="145"/>
      <c r="AJ436" s="145"/>
      <c r="AK436" s="145"/>
      <c r="AL436" s="145"/>
      <c r="AM436" s="145"/>
      <c r="AN436" s="145"/>
      <c r="AO436" s="145"/>
      <c r="AP436" s="145"/>
      <c r="AQ436" s="145"/>
      <c r="AR436" s="145"/>
      <c r="AS436" s="145"/>
      <c r="AT436" s="146"/>
      <c r="AU436" s="146"/>
      <c r="AV436" s="145"/>
      <c r="AW436" s="145"/>
      <c r="AX436" s="145"/>
      <c r="AY436" s="145"/>
      <c r="AZ436" s="145"/>
      <c r="BA436" s="145"/>
      <c r="BB436" s="145"/>
      <c r="BC436" s="145"/>
      <c r="BD436" s="145"/>
    </row>
    <row r="437" spans="1:56" ht="18.75" customHeight="1" x14ac:dyDescent="0.55000000000000004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  <c r="AC437" s="145"/>
      <c r="AD437" s="145"/>
      <c r="AE437" s="145"/>
      <c r="AF437" s="145"/>
      <c r="AG437" s="145"/>
      <c r="AH437" s="145"/>
      <c r="AI437" s="145"/>
      <c r="AJ437" s="145"/>
      <c r="AK437" s="145"/>
      <c r="AL437" s="145"/>
      <c r="AM437" s="145"/>
      <c r="AN437" s="145"/>
      <c r="AO437" s="145"/>
      <c r="AP437" s="145"/>
      <c r="AQ437" s="145"/>
      <c r="AR437" s="145"/>
      <c r="AS437" s="145"/>
      <c r="AT437" s="146"/>
      <c r="AU437" s="146"/>
      <c r="AV437" s="145"/>
      <c r="AW437" s="145"/>
      <c r="AX437" s="145"/>
      <c r="AY437" s="145"/>
      <c r="AZ437" s="145"/>
      <c r="BA437" s="145"/>
      <c r="BB437" s="145"/>
      <c r="BC437" s="145"/>
      <c r="BD437" s="145"/>
    </row>
    <row r="438" spans="1:56" ht="18.75" customHeight="1" x14ac:dyDescent="0.55000000000000004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  <c r="AC438" s="145"/>
      <c r="AD438" s="145"/>
      <c r="AE438" s="145"/>
      <c r="AF438" s="145"/>
      <c r="AG438" s="145"/>
      <c r="AH438" s="145"/>
      <c r="AI438" s="145"/>
      <c r="AJ438" s="145"/>
      <c r="AK438" s="145"/>
      <c r="AL438" s="145"/>
      <c r="AM438" s="145"/>
      <c r="AN438" s="145"/>
      <c r="AO438" s="145"/>
      <c r="AP438" s="145"/>
      <c r="AQ438" s="145"/>
      <c r="AR438" s="145"/>
      <c r="AS438" s="145"/>
      <c r="AT438" s="146"/>
      <c r="AU438" s="146"/>
      <c r="AV438" s="145"/>
      <c r="AW438" s="145"/>
      <c r="AX438" s="145"/>
      <c r="AY438" s="145"/>
      <c r="AZ438" s="145"/>
      <c r="BA438" s="145"/>
      <c r="BB438" s="145"/>
      <c r="BC438" s="145"/>
      <c r="BD438" s="145"/>
    </row>
    <row r="439" spans="1:56" ht="18.75" customHeight="1" x14ac:dyDescent="0.55000000000000004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  <c r="AC439" s="145"/>
      <c r="AD439" s="145"/>
      <c r="AE439" s="145"/>
      <c r="AF439" s="145"/>
      <c r="AG439" s="145"/>
      <c r="AH439" s="145"/>
      <c r="AI439" s="145"/>
      <c r="AJ439" s="145"/>
      <c r="AK439" s="145"/>
      <c r="AL439" s="145"/>
      <c r="AM439" s="145"/>
      <c r="AN439" s="145"/>
      <c r="AO439" s="145"/>
      <c r="AP439" s="145"/>
      <c r="AQ439" s="145"/>
      <c r="AR439" s="145"/>
      <c r="AS439" s="145"/>
      <c r="AT439" s="146"/>
      <c r="AU439" s="146"/>
      <c r="AV439" s="145"/>
      <c r="AW439" s="145"/>
      <c r="AX439" s="145"/>
      <c r="AY439" s="145"/>
      <c r="AZ439" s="145"/>
      <c r="BA439" s="145"/>
      <c r="BB439" s="145"/>
      <c r="BC439" s="145"/>
      <c r="BD439" s="145"/>
    </row>
    <row r="440" spans="1:56" ht="18.75" customHeight="1" x14ac:dyDescent="0.55000000000000004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  <c r="AE440" s="145"/>
      <c r="AF440" s="145"/>
      <c r="AG440" s="145"/>
      <c r="AH440" s="145"/>
      <c r="AI440" s="145"/>
      <c r="AJ440" s="145"/>
      <c r="AK440" s="145"/>
      <c r="AL440" s="145"/>
      <c r="AM440" s="145"/>
      <c r="AN440" s="145"/>
      <c r="AO440" s="145"/>
      <c r="AP440" s="145"/>
      <c r="AQ440" s="145"/>
      <c r="AR440" s="145"/>
      <c r="AS440" s="145"/>
      <c r="AT440" s="146"/>
      <c r="AU440" s="146"/>
      <c r="AV440" s="145"/>
      <c r="AW440" s="145"/>
      <c r="AX440" s="145"/>
      <c r="AY440" s="145"/>
      <c r="AZ440" s="145"/>
      <c r="BA440" s="145"/>
      <c r="BB440" s="145"/>
      <c r="BC440" s="145"/>
      <c r="BD440" s="145"/>
    </row>
    <row r="441" spans="1:56" ht="18.75" customHeight="1" x14ac:dyDescent="0.55000000000000004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  <c r="AN441" s="145"/>
      <c r="AO441" s="145"/>
      <c r="AP441" s="145"/>
      <c r="AQ441" s="145"/>
      <c r="AR441" s="145"/>
      <c r="AS441" s="145"/>
      <c r="AT441" s="146"/>
      <c r="AU441" s="146"/>
      <c r="AV441" s="145"/>
      <c r="AW441" s="145"/>
      <c r="AX441" s="145"/>
      <c r="AY441" s="145"/>
      <c r="AZ441" s="145"/>
      <c r="BA441" s="145"/>
      <c r="BB441" s="145"/>
      <c r="BC441" s="145"/>
      <c r="BD441" s="145"/>
    </row>
    <row r="442" spans="1:56" ht="18.75" customHeight="1" x14ac:dyDescent="0.55000000000000004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  <c r="AE442" s="145"/>
      <c r="AF442" s="145"/>
      <c r="AG442" s="145"/>
      <c r="AH442" s="145"/>
      <c r="AI442" s="145"/>
      <c r="AJ442" s="145"/>
      <c r="AK442" s="145"/>
      <c r="AL442" s="145"/>
      <c r="AM442" s="145"/>
      <c r="AN442" s="145"/>
      <c r="AO442" s="145"/>
      <c r="AP442" s="145"/>
      <c r="AQ442" s="145"/>
      <c r="AR442" s="145"/>
      <c r="AS442" s="145"/>
      <c r="AT442" s="146"/>
      <c r="AU442" s="146"/>
      <c r="AV442" s="145"/>
      <c r="AW442" s="145"/>
      <c r="AX442" s="145"/>
      <c r="AY442" s="145"/>
      <c r="AZ442" s="145"/>
      <c r="BA442" s="145"/>
      <c r="BB442" s="145"/>
      <c r="BC442" s="145"/>
      <c r="BD442" s="145"/>
    </row>
    <row r="443" spans="1:56" ht="18.75" customHeight="1" x14ac:dyDescent="0.55000000000000004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  <c r="AE443" s="145"/>
      <c r="AF443" s="145"/>
      <c r="AG443" s="145"/>
      <c r="AH443" s="145"/>
      <c r="AI443" s="145"/>
      <c r="AJ443" s="145"/>
      <c r="AK443" s="145"/>
      <c r="AL443" s="145"/>
      <c r="AM443" s="145"/>
      <c r="AN443" s="145"/>
      <c r="AO443" s="145"/>
      <c r="AP443" s="145"/>
      <c r="AQ443" s="145"/>
      <c r="AR443" s="145"/>
      <c r="AS443" s="145"/>
      <c r="AT443" s="146"/>
      <c r="AU443" s="146"/>
      <c r="AV443" s="145"/>
      <c r="AW443" s="145"/>
      <c r="AX443" s="145"/>
      <c r="AY443" s="145"/>
      <c r="AZ443" s="145"/>
      <c r="BA443" s="145"/>
      <c r="BB443" s="145"/>
      <c r="BC443" s="145"/>
      <c r="BD443" s="145"/>
    </row>
    <row r="444" spans="1:56" ht="18.75" customHeight="1" x14ac:dyDescent="0.55000000000000004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  <c r="AE444" s="145"/>
      <c r="AF444" s="145"/>
      <c r="AG444" s="145"/>
      <c r="AH444" s="145"/>
      <c r="AI444" s="145"/>
      <c r="AJ444" s="145"/>
      <c r="AK444" s="145"/>
      <c r="AL444" s="145"/>
      <c r="AM444" s="145"/>
      <c r="AN444" s="145"/>
      <c r="AO444" s="145"/>
      <c r="AP444" s="145"/>
      <c r="AQ444" s="145"/>
      <c r="AR444" s="145"/>
      <c r="AS444" s="145"/>
      <c r="AT444" s="146"/>
      <c r="AU444" s="146"/>
      <c r="AV444" s="145"/>
      <c r="AW444" s="145"/>
      <c r="AX444" s="145"/>
      <c r="AY444" s="145"/>
      <c r="AZ444" s="145"/>
      <c r="BA444" s="145"/>
      <c r="BB444" s="145"/>
      <c r="BC444" s="145"/>
      <c r="BD444" s="145"/>
    </row>
    <row r="445" spans="1:56" ht="18.75" customHeight="1" x14ac:dyDescent="0.55000000000000004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  <c r="AE445" s="145"/>
      <c r="AF445" s="145"/>
      <c r="AG445" s="145"/>
      <c r="AH445" s="145"/>
      <c r="AI445" s="145"/>
      <c r="AJ445" s="145"/>
      <c r="AK445" s="145"/>
      <c r="AL445" s="145"/>
      <c r="AM445" s="145"/>
      <c r="AN445" s="145"/>
      <c r="AO445" s="145"/>
      <c r="AP445" s="145"/>
      <c r="AQ445" s="145"/>
      <c r="AR445" s="145"/>
      <c r="AS445" s="145"/>
      <c r="AT445" s="146"/>
      <c r="AU445" s="146"/>
      <c r="AV445" s="145"/>
      <c r="AW445" s="145"/>
      <c r="AX445" s="145"/>
      <c r="AY445" s="145"/>
      <c r="AZ445" s="145"/>
      <c r="BA445" s="145"/>
      <c r="BB445" s="145"/>
      <c r="BC445" s="145"/>
      <c r="BD445" s="145"/>
    </row>
    <row r="446" spans="1:56" ht="18.75" customHeight="1" x14ac:dyDescent="0.55000000000000004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  <c r="AE446" s="145"/>
      <c r="AF446" s="145"/>
      <c r="AG446" s="145"/>
      <c r="AH446" s="145"/>
      <c r="AI446" s="145"/>
      <c r="AJ446" s="145"/>
      <c r="AK446" s="145"/>
      <c r="AL446" s="145"/>
      <c r="AM446" s="145"/>
      <c r="AN446" s="145"/>
      <c r="AO446" s="145"/>
      <c r="AP446" s="145"/>
      <c r="AQ446" s="145"/>
      <c r="AR446" s="145"/>
      <c r="AS446" s="145"/>
      <c r="AT446" s="146"/>
      <c r="AU446" s="146"/>
      <c r="AV446" s="145"/>
      <c r="AW446" s="145"/>
      <c r="AX446" s="145"/>
      <c r="AY446" s="145"/>
      <c r="AZ446" s="145"/>
      <c r="BA446" s="145"/>
      <c r="BB446" s="145"/>
      <c r="BC446" s="145"/>
      <c r="BD446" s="145"/>
    </row>
    <row r="447" spans="1:56" ht="18.75" customHeight="1" x14ac:dyDescent="0.55000000000000004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  <c r="AE447" s="145"/>
      <c r="AF447" s="145"/>
      <c r="AG447" s="145"/>
      <c r="AH447" s="145"/>
      <c r="AI447" s="145"/>
      <c r="AJ447" s="145"/>
      <c r="AK447" s="145"/>
      <c r="AL447" s="145"/>
      <c r="AM447" s="145"/>
      <c r="AN447" s="145"/>
      <c r="AO447" s="145"/>
      <c r="AP447" s="145"/>
      <c r="AQ447" s="145"/>
      <c r="AR447" s="145"/>
      <c r="AS447" s="145"/>
      <c r="AT447" s="146"/>
      <c r="AU447" s="146"/>
      <c r="AV447" s="145"/>
      <c r="AW447" s="145"/>
      <c r="AX447" s="145"/>
      <c r="AY447" s="145"/>
      <c r="AZ447" s="145"/>
      <c r="BA447" s="145"/>
      <c r="BB447" s="145"/>
      <c r="BC447" s="145"/>
      <c r="BD447" s="145"/>
    </row>
    <row r="448" spans="1:56" ht="18.75" customHeight="1" x14ac:dyDescent="0.55000000000000004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  <c r="AE448" s="145"/>
      <c r="AF448" s="145"/>
      <c r="AG448" s="145"/>
      <c r="AH448" s="145"/>
      <c r="AI448" s="145"/>
      <c r="AJ448" s="145"/>
      <c r="AK448" s="145"/>
      <c r="AL448" s="145"/>
      <c r="AM448" s="145"/>
      <c r="AN448" s="145"/>
      <c r="AO448" s="145"/>
      <c r="AP448" s="145"/>
      <c r="AQ448" s="145"/>
      <c r="AR448" s="145"/>
      <c r="AS448" s="145"/>
      <c r="AT448" s="146"/>
      <c r="AU448" s="146"/>
      <c r="AV448" s="145"/>
      <c r="AW448" s="145"/>
      <c r="AX448" s="145"/>
      <c r="AY448" s="145"/>
      <c r="AZ448" s="145"/>
      <c r="BA448" s="145"/>
      <c r="BB448" s="145"/>
      <c r="BC448" s="145"/>
      <c r="BD448" s="145"/>
    </row>
    <row r="449" spans="1:56" ht="18.75" customHeight="1" x14ac:dyDescent="0.55000000000000004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  <c r="AE449" s="145"/>
      <c r="AF449" s="145"/>
      <c r="AG449" s="145"/>
      <c r="AH449" s="145"/>
      <c r="AI449" s="145"/>
      <c r="AJ449" s="145"/>
      <c r="AK449" s="145"/>
      <c r="AL449" s="145"/>
      <c r="AM449" s="145"/>
      <c r="AN449" s="145"/>
      <c r="AO449" s="145"/>
      <c r="AP449" s="145"/>
      <c r="AQ449" s="145"/>
      <c r="AR449" s="145"/>
      <c r="AS449" s="145"/>
      <c r="AT449" s="146"/>
      <c r="AU449" s="146"/>
      <c r="AV449" s="145"/>
      <c r="AW449" s="145"/>
      <c r="AX449" s="145"/>
      <c r="AY449" s="145"/>
      <c r="AZ449" s="145"/>
      <c r="BA449" s="145"/>
      <c r="BB449" s="145"/>
      <c r="BC449" s="145"/>
      <c r="BD449" s="145"/>
    </row>
    <row r="450" spans="1:56" ht="18.75" customHeight="1" x14ac:dyDescent="0.55000000000000004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  <c r="AE450" s="145"/>
      <c r="AF450" s="145"/>
      <c r="AG450" s="145"/>
      <c r="AH450" s="145"/>
      <c r="AI450" s="145"/>
      <c r="AJ450" s="145"/>
      <c r="AK450" s="145"/>
      <c r="AL450" s="145"/>
      <c r="AM450" s="145"/>
      <c r="AN450" s="145"/>
      <c r="AO450" s="145"/>
      <c r="AP450" s="145"/>
      <c r="AQ450" s="145"/>
      <c r="AR450" s="145"/>
      <c r="AS450" s="145"/>
      <c r="AT450" s="146"/>
      <c r="AU450" s="146"/>
      <c r="AV450" s="145"/>
      <c r="AW450" s="145"/>
      <c r="AX450" s="145"/>
      <c r="AY450" s="145"/>
      <c r="AZ450" s="145"/>
      <c r="BA450" s="145"/>
      <c r="BB450" s="145"/>
      <c r="BC450" s="145"/>
      <c r="BD450" s="145"/>
    </row>
    <row r="451" spans="1:56" ht="18.75" customHeight="1" x14ac:dyDescent="0.55000000000000004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  <c r="AE451" s="145"/>
      <c r="AF451" s="145"/>
      <c r="AG451" s="145"/>
      <c r="AH451" s="145"/>
      <c r="AI451" s="145"/>
      <c r="AJ451" s="145"/>
      <c r="AK451" s="145"/>
      <c r="AL451" s="145"/>
      <c r="AM451" s="145"/>
      <c r="AN451" s="145"/>
      <c r="AO451" s="145"/>
      <c r="AP451" s="145"/>
      <c r="AQ451" s="145"/>
      <c r="AR451" s="145"/>
      <c r="AS451" s="145"/>
      <c r="AT451" s="146"/>
      <c r="AU451" s="146"/>
      <c r="AV451" s="145"/>
      <c r="AW451" s="145"/>
      <c r="AX451" s="145"/>
      <c r="AY451" s="145"/>
      <c r="AZ451" s="145"/>
      <c r="BA451" s="145"/>
      <c r="BB451" s="145"/>
      <c r="BC451" s="145"/>
      <c r="BD451" s="145"/>
    </row>
    <row r="452" spans="1:56" ht="18.75" customHeight="1" x14ac:dyDescent="0.55000000000000004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  <c r="AE452" s="145"/>
      <c r="AF452" s="145"/>
      <c r="AG452" s="145"/>
      <c r="AH452" s="145"/>
      <c r="AI452" s="145"/>
      <c r="AJ452" s="145"/>
      <c r="AK452" s="145"/>
      <c r="AL452" s="145"/>
      <c r="AM452" s="145"/>
      <c r="AN452" s="145"/>
      <c r="AO452" s="145"/>
      <c r="AP452" s="145"/>
      <c r="AQ452" s="145"/>
      <c r="AR452" s="145"/>
      <c r="AS452" s="145"/>
      <c r="AT452" s="146"/>
      <c r="AU452" s="146"/>
      <c r="AV452" s="145"/>
      <c r="AW452" s="145"/>
      <c r="AX452" s="145"/>
      <c r="AY452" s="145"/>
      <c r="AZ452" s="145"/>
      <c r="BA452" s="145"/>
      <c r="BB452" s="145"/>
      <c r="BC452" s="145"/>
      <c r="BD452" s="145"/>
    </row>
    <row r="453" spans="1:56" ht="18.75" customHeight="1" x14ac:dyDescent="0.55000000000000004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  <c r="AE453" s="145"/>
      <c r="AF453" s="145"/>
      <c r="AG453" s="145"/>
      <c r="AH453" s="145"/>
      <c r="AI453" s="145"/>
      <c r="AJ453" s="145"/>
      <c r="AK453" s="145"/>
      <c r="AL453" s="145"/>
      <c r="AM453" s="145"/>
      <c r="AN453" s="145"/>
      <c r="AO453" s="145"/>
      <c r="AP453" s="145"/>
      <c r="AQ453" s="145"/>
      <c r="AR453" s="145"/>
      <c r="AS453" s="145"/>
      <c r="AT453" s="146"/>
      <c r="AU453" s="146"/>
      <c r="AV453" s="145"/>
      <c r="AW453" s="145"/>
      <c r="AX453" s="145"/>
      <c r="AY453" s="145"/>
      <c r="AZ453" s="145"/>
      <c r="BA453" s="145"/>
      <c r="BB453" s="145"/>
      <c r="BC453" s="145"/>
      <c r="BD453" s="145"/>
    </row>
    <row r="454" spans="1:56" ht="18.75" customHeight="1" x14ac:dyDescent="0.55000000000000004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  <c r="AC454" s="145"/>
      <c r="AD454" s="145"/>
      <c r="AE454" s="145"/>
      <c r="AF454" s="145"/>
      <c r="AG454" s="145"/>
      <c r="AH454" s="145"/>
      <c r="AI454" s="145"/>
      <c r="AJ454" s="145"/>
      <c r="AK454" s="145"/>
      <c r="AL454" s="145"/>
      <c r="AM454" s="145"/>
      <c r="AN454" s="145"/>
      <c r="AO454" s="145"/>
      <c r="AP454" s="145"/>
      <c r="AQ454" s="145"/>
      <c r="AR454" s="145"/>
      <c r="AS454" s="145"/>
      <c r="AT454" s="146"/>
      <c r="AU454" s="146"/>
      <c r="AV454" s="145"/>
      <c r="AW454" s="145"/>
      <c r="AX454" s="145"/>
      <c r="AY454" s="145"/>
      <c r="AZ454" s="145"/>
      <c r="BA454" s="145"/>
      <c r="BB454" s="145"/>
      <c r="BC454" s="145"/>
      <c r="BD454" s="145"/>
    </row>
    <row r="455" spans="1:56" ht="18.75" customHeight="1" x14ac:dyDescent="0.55000000000000004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  <c r="AC455" s="145"/>
      <c r="AD455" s="145"/>
      <c r="AE455" s="145"/>
      <c r="AF455" s="145"/>
      <c r="AG455" s="145"/>
      <c r="AH455" s="145"/>
      <c r="AI455" s="145"/>
      <c r="AJ455" s="145"/>
      <c r="AK455" s="145"/>
      <c r="AL455" s="145"/>
      <c r="AM455" s="145"/>
      <c r="AN455" s="145"/>
      <c r="AO455" s="145"/>
      <c r="AP455" s="145"/>
      <c r="AQ455" s="145"/>
      <c r="AR455" s="145"/>
      <c r="AS455" s="145"/>
      <c r="AT455" s="146"/>
      <c r="AU455" s="146"/>
      <c r="AV455" s="145"/>
      <c r="AW455" s="145"/>
      <c r="AX455" s="145"/>
      <c r="AY455" s="145"/>
      <c r="AZ455" s="145"/>
      <c r="BA455" s="145"/>
      <c r="BB455" s="145"/>
      <c r="BC455" s="145"/>
      <c r="BD455" s="145"/>
    </row>
    <row r="456" spans="1:56" ht="18.75" customHeight="1" x14ac:dyDescent="0.55000000000000004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  <c r="AE456" s="145"/>
      <c r="AF456" s="145"/>
      <c r="AG456" s="145"/>
      <c r="AH456" s="145"/>
      <c r="AI456" s="145"/>
      <c r="AJ456" s="145"/>
      <c r="AK456" s="145"/>
      <c r="AL456" s="145"/>
      <c r="AM456" s="145"/>
      <c r="AN456" s="145"/>
      <c r="AO456" s="145"/>
      <c r="AP456" s="145"/>
      <c r="AQ456" s="145"/>
      <c r="AR456" s="145"/>
      <c r="AS456" s="145"/>
      <c r="AT456" s="146"/>
      <c r="AU456" s="146"/>
      <c r="AV456" s="145"/>
      <c r="AW456" s="145"/>
      <c r="AX456" s="145"/>
      <c r="AY456" s="145"/>
      <c r="AZ456" s="145"/>
      <c r="BA456" s="145"/>
      <c r="BB456" s="145"/>
      <c r="BC456" s="145"/>
      <c r="BD456" s="145"/>
    </row>
    <row r="457" spans="1:56" ht="18.75" customHeight="1" x14ac:dyDescent="0.55000000000000004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  <c r="AC457" s="145"/>
      <c r="AD457" s="145"/>
      <c r="AE457" s="145"/>
      <c r="AF457" s="145"/>
      <c r="AG457" s="145"/>
      <c r="AH457" s="145"/>
      <c r="AI457" s="145"/>
      <c r="AJ457" s="145"/>
      <c r="AK457" s="145"/>
      <c r="AL457" s="145"/>
      <c r="AM457" s="145"/>
      <c r="AN457" s="145"/>
      <c r="AO457" s="145"/>
      <c r="AP457" s="145"/>
      <c r="AQ457" s="145"/>
      <c r="AR457" s="145"/>
      <c r="AS457" s="145"/>
      <c r="AT457" s="146"/>
      <c r="AU457" s="146"/>
      <c r="AV457" s="145"/>
      <c r="AW457" s="145"/>
      <c r="AX457" s="145"/>
      <c r="AY457" s="145"/>
      <c r="AZ457" s="145"/>
      <c r="BA457" s="145"/>
      <c r="BB457" s="145"/>
      <c r="BC457" s="145"/>
      <c r="BD457" s="145"/>
    </row>
    <row r="458" spans="1:56" ht="18.75" customHeight="1" x14ac:dyDescent="0.55000000000000004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  <c r="AC458" s="145"/>
      <c r="AD458" s="145"/>
      <c r="AE458" s="145"/>
      <c r="AF458" s="145"/>
      <c r="AG458" s="145"/>
      <c r="AH458" s="145"/>
      <c r="AI458" s="145"/>
      <c r="AJ458" s="145"/>
      <c r="AK458" s="145"/>
      <c r="AL458" s="145"/>
      <c r="AM458" s="145"/>
      <c r="AN458" s="145"/>
      <c r="AO458" s="145"/>
      <c r="AP458" s="145"/>
      <c r="AQ458" s="145"/>
      <c r="AR458" s="145"/>
      <c r="AS458" s="145"/>
      <c r="AT458" s="146"/>
      <c r="AU458" s="146"/>
      <c r="AV458" s="145"/>
      <c r="AW458" s="145"/>
      <c r="AX458" s="145"/>
      <c r="AY458" s="145"/>
      <c r="AZ458" s="145"/>
      <c r="BA458" s="145"/>
      <c r="BB458" s="145"/>
      <c r="BC458" s="145"/>
      <c r="BD458" s="145"/>
    </row>
    <row r="459" spans="1:56" ht="18.75" customHeight="1" x14ac:dyDescent="0.55000000000000004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  <c r="AC459" s="145"/>
      <c r="AD459" s="145"/>
      <c r="AE459" s="145"/>
      <c r="AF459" s="145"/>
      <c r="AG459" s="145"/>
      <c r="AH459" s="145"/>
      <c r="AI459" s="145"/>
      <c r="AJ459" s="145"/>
      <c r="AK459" s="145"/>
      <c r="AL459" s="145"/>
      <c r="AM459" s="145"/>
      <c r="AN459" s="145"/>
      <c r="AO459" s="145"/>
      <c r="AP459" s="145"/>
      <c r="AQ459" s="145"/>
      <c r="AR459" s="145"/>
      <c r="AS459" s="145"/>
      <c r="AT459" s="146"/>
      <c r="AU459" s="146"/>
      <c r="AV459" s="145"/>
      <c r="AW459" s="145"/>
      <c r="AX459" s="145"/>
      <c r="AY459" s="145"/>
      <c r="AZ459" s="145"/>
      <c r="BA459" s="145"/>
      <c r="BB459" s="145"/>
      <c r="BC459" s="145"/>
      <c r="BD459" s="145"/>
    </row>
    <row r="460" spans="1:56" ht="18.75" customHeight="1" x14ac:dyDescent="0.55000000000000004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  <c r="AC460" s="145"/>
      <c r="AD460" s="145"/>
      <c r="AE460" s="145"/>
      <c r="AF460" s="145"/>
      <c r="AG460" s="145"/>
      <c r="AH460" s="145"/>
      <c r="AI460" s="145"/>
      <c r="AJ460" s="145"/>
      <c r="AK460" s="145"/>
      <c r="AL460" s="145"/>
      <c r="AM460" s="145"/>
      <c r="AN460" s="145"/>
      <c r="AO460" s="145"/>
      <c r="AP460" s="145"/>
      <c r="AQ460" s="145"/>
      <c r="AR460" s="145"/>
      <c r="AS460" s="145"/>
      <c r="AT460" s="146"/>
      <c r="AU460" s="146"/>
      <c r="AV460" s="145"/>
      <c r="AW460" s="145"/>
      <c r="AX460" s="145"/>
      <c r="AY460" s="145"/>
      <c r="AZ460" s="145"/>
      <c r="BA460" s="145"/>
      <c r="BB460" s="145"/>
      <c r="BC460" s="145"/>
      <c r="BD460" s="145"/>
    </row>
    <row r="461" spans="1:56" ht="18.75" customHeight="1" x14ac:dyDescent="0.55000000000000004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  <c r="AC461" s="145"/>
      <c r="AD461" s="145"/>
      <c r="AE461" s="145"/>
      <c r="AF461" s="145"/>
      <c r="AG461" s="145"/>
      <c r="AH461" s="145"/>
      <c r="AI461" s="145"/>
      <c r="AJ461" s="145"/>
      <c r="AK461" s="145"/>
      <c r="AL461" s="145"/>
      <c r="AM461" s="145"/>
      <c r="AN461" s="145"/>
      <c r="AO461" s="145"/>
      <c r="AP461" s="145"/>
      <c r="AQ461" s="145"/>
      <c r="AR461" s="145"/>
      <c r="AS461" s="145"/>
      <c r="AT461" s="146"/>
      <c r="AU461" s="146"/>
      <c r="AV461" s="145"/>
      <c r="AW461" s="145"/>
      <c r="AX461" s="145"/>
      <c r="AY461" s="145"/>
      <c r="AZ461" s="145"/>
      <c r="BA461" s="145"/>
      <c r="BB461" s="145"/>
      <c r="BC461" s="145"/>
      <c r="BD461" s="145"/>
    </row>
    <row r="462" spans="1:56" ht="18.75" customHeight="1" x14ac:dyDescent="0.55000000000000004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  <c r="AC462" s="145"/>
      <c r="AD462" s="145"/>
      <c r="AE462" s="145"/>
      <c r="AF462" s="145"/>
      <c r="AG462" s="145"/>
      <c r="AH462" s="145"/>
      <c r="AI462" s="145"/>
      <c r="AJ462" s="145"/>
      <c r="AK462" s="145"/>
      <c r="AL462" s="145"/>
      <c r="AM462" s="145"/>
      <c r="AN462" s="145"/>
      <c r="AO462" s="145"/>
      <c r="AP462" s="145"/>
      <c r="AQ462" s="145"/>
      <c r="AR462" s="145"/>
      <c r="AS462" s="145"/>
      <c r="AT462" s="146"/>
      <c r="AU462" s="146"/>
      <c r="AV462" s="145"/>
      <c r="AW462" s="145"/>
      <c r="AX462" s="145"/>
      <c r="AY462" s="145"/>
      <c r="AZ462" s="145"/>
      <c r="BA462" s="145"/>
      <c r="BB462" s="145"/>
      <c r="BC462" s="145"/>
      <c r="BD462" s="145"/>
    </row>
    <row r="463" spans="1:56" ht="18.75" customHeight="1" x14ac:dyDescent="0.55000000000000004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  <c r="AC463" s="145"/>
      <c r="AD463" s="145"/>
      <c r="AE463" s="145"/>
      <c r="AF463" s="145"/>
      <c r="AG463" s="145"/>
      <c r="AH463" s="145"/>
      <c r="AI463" s="145"/>
      <c r="AJ463" s="145"/>
      <c r="AK463" s="145"/>
      <c r="AL463" s="145"/>
      <c r="AM463" s="145"/>
      <c r="AN463" s="145"/>
      <c r="AO463" s="145"/>
      <c r="AP463" s="145"/>
      <c r="AQ463" s="145"/>
      <c r="AR463" s="145"/>
      <c r="AS463" s="145"/>
      <c r="AT463" s="146"/>
      <c r="AU463" s="146"/>
      <c r="AV463" s="145"/>
      <c r="AW463" s="145"/>
      <c r="AX463" s="145"/>
      <c r="AY463" s="145"/>
      <c r="AZ463" s="145"/>
      <c r="BA463" s="145"/>
      <c r="BB463" s="145"/>
      <c r="BC463" s="145"/>
      <c r="BD463" s="145"/>
    </row>
    <row r="464" spans="1:56" ht="18.75" customHeight="1" x14ac:dyDescent="0.55000000000000004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  <c r="AC464" s="145"/>
      <c r="AD464" s="145"/>
      <c r="AE464" s="145"/>
      <c r="AF464" s="145"/>
      <c r="AG464" s="145"/>
      <c r="AH464" s="145"/>
      <c r="AI464" s="145"/>
      <c r="AJ464" s="145"/>
      <c r="AK464" s="145"/>
      <c r="AL464" s="145"/>
      <c r="AM464" s="145"/>
      <c r="AN464" s="145"/>
      <c r="AO464" s="145"/>
      <c r="AP464" s="145"/>
      <c r="AQ464" s="145"/>
      <c r="AR464" s="145"/>
      <c r="AS464" s="145"/>
      <c r="AT464" s="146"/>
      <c r="AU464" s="146"/>
      <c r="AV464" s="145"/>
      <c r="AW464" s="145"/>
      <c r="AX464" s="145"/>
      <c r="AY464" s="145"/>
      <c r="AZ464" s="145"/>
      <c r="BA464" s="145"/>
      <c r="BB464" s="145"/>
      <c r="BC464" s="145"/>
      <c r="BD464" s="145"/>
    </row>
    <row r="465" spans="1:56" ht="18.75" customHeight="1" x14ac:dyDescent="0.55000000000000004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  <c r="AC465" s="145"/>
      <c r="AD465" s="145"/>
      <c r="AE465" s="145"/>
      <c r="AF465" s="145"/>
      <c r="AG465" s="145"/>
      <c r="AH465" s="145"/>
      <c r="AI465" s="145"/>
      <c r="AJ465" s="145"/>
      <c r="AK465" s="145"/>
      <c r="AL465" s="145"/>
      <c r="AM465" s="145"/>
      <c r="AN465" s="145"/>
      <c r="AO465" s="145"/>
      <c r="AP465" s="145"/>
      <c r="AQ465" s="145"/>
      <c r="AR465" s="145"/>
      <c r="AS465" s="145"/>
      <c r="AT465" s="146"/>
      <c r="AU465" s="146"/>
      <c r="AV465" s="145"/>
      <c r="AW465" s="145"/>
      <c r="AX465" s="145"/>
      <c r="AY465" s="145"/>
      <c r="AZ465" s="145"/>
      <c r="BA465" s="145"/>
      <c r="BB465" s="145"/>
      <c r="BC465" s="145"/>
      <c r="BD465" s="145"/>
    </row>
    <row r="466" spans="1:56" ht="18.75" customHeight="1" x14ac:dyDescent="0.55000000000000004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  <c r="AC466" s="145"/>
      <c r="AD466" s="145"/>
      <c r="AE466" s="145"/>
      <c r="AF466" s="145"/>
      <c r="AG466" s="145"/>
      <c r="AH466" s="145"/>
      <c r="AI466" s="145"/>
      <c r="AJ466" s="145"/>
      <c r="AK466" s="145"/>
      <c r="AL466" s="145"/>
      <c r="AM466" s="145"/>
      <c r="AN466" s="145"/>
      <c r="AO466" s="145"/>
      <c r="AP466" s="145"/>
      <c r="AQ466" s="145"/>
      <c r="AR466" s="145"/>
      <c r="AS466" s="145"/>
      <c r="AT466" s="146"/>
      <c r="AU466" s="146"/>
      <c r="AV466" s="145"/>
      <c r="AW466" s="145"/>
      <c r="AX466" s="145"/>
      <c r="AY466" s="145"/>
      <c r="AZ466" s="145"/>
      <c r="BA466" s="145"/>
      <c r="BB466" s="145"/>
      <c r="BC466" s="145"/>
      <c r="BD466" s="145"/>
    </row>
    <row r="467" spans="1:56" ht="18.75" customHeight="1" x14ac:dyDescent="0.55000000000000004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  <c r="AC467" s="145"/>
      <c r="AD467" s="145"/>
      <c r="AE467" s="145"/>
      <c r="AF467" s="145"/>
      <c r="AG467" s="145"/>
      <c r="AH467" s="145"/>
      <c r="AI467" s="145"/>
      <c r="AJ467" s="145"/>
      <c r="AK467" s="145"/>
      <c r="AL467" s="145"/>
      <c r="AM467" s="145"/>
      <c r="AN467" s="145"/>
      <c r="AO467" s="145"/>
      <c r="AP467" s="145"/>
      <c r="AQ467" s="145"/>
      <c r="AR467" s="145"/>
      <c r="AS467" s="145"/>
      <c r="AT467" s="146"/>
      <c r="AU467" s="146"/>
      <c r="AV467" s="145"/>
      <c r="AW467" s="145"/>
      <c r="AX467" s="145"/>
      <c r="AY467" s="145"/>
      <c r="AZ467" s="145"/>
      <c r="BA467" s="145"/>
      <c r="BB467" s="145"/>
      <c r="BC467" s="145"/>
      <c r="BD467" s="145"/>
    </row>
    <row r="468" spans="1:56" ht="18.75" customHeight="1" x14ac:dyDescent="0.55000000000000004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  <c r="AE468" s="145"/>
      <c r="AF468" s="145"/>
      <c r="AG468" s="145"/>
      <c r="AH468" s="145"/>
      <c r="AI468" s="145"/>
      <c r="AJ468" s="145"/>
      <c r="AK468" s="145"/>
      <c r="AL468" s="145"/>
      <c r="AM468" s="145"/>
      <c r="AN468" s="145"/>
      <c r="AO468" s="145"/>
      <c r="AP468" s="145"/>
      <c r="AQ468" s="145"/>
      <c r="AR468" s="145"/>
      <c r="AS468" s="145"/>
      <c r="AT468" s="146"/>
      <c r="AU468" s="146"/>
      <c r="AV468" s="145"/>
      <c r="AW468" s="145"/>
      <c r="AX468" s="145"/>
      <c r="AY468" s="145"/>
      <c r="AZ468" s="145"/>
      <c r="BA468" s="145"/>
      <c r="BB468" s="145"/>
      <c r="BC468" s="145"/>
      <c r="BD468" s="145"/>
    </row>
    <row r="469" spans="1:56" ht="18.75" customHeight="1" x14ac:dyDescent="0.55000000000000004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  <c r="AC469" s="145"/>
      <c r="AD469" s="145"/>
      <c r="AE469" s="145"/>
      <c r="AF469" s="145"/>
      <c r="AG469" s="145"/>
      <c r="AH469" s="145"/>
      <c r="AI469" s="145"/>
      <c r="AJ469" s="145"/>
      <c r="AK469" s="145"/>
      <c r="AL469" s="145"/>
      <c r="AM469" s="145"/>
      <c r="AN469" s="145"/>
      <c r="AO469" s="145"/>
      <c r="AP469" s="145"/>
      <c r="AQ469" s="145"/>
      <c r="AR469" s="145"/>
      <c r="AS469" s="145"/>
      <c r="AT469" s="146"/>
      <c r="AU469" s="146"/>
      <c r="AV469" s="145"/>
      <c r="AW469" s="145"/>
      <c r="AX469" s="145"/>
      <c r="AY469" s="145"/>
      <c r="AZ469" s="145"/>
      <c r="BA469" s="145"/>
      <c r="BB469" s="145"/>
      <c r="BC469" s="145"/>
      <c r="BD469" s="145"/>
    </row>
    <row r="470" spans="1:56" ht="18.75" customHeight="1" x14ac:dyDescent="0.55000000000000004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  <c r="AE470" s="145"/>
      <c r="AF470" s="145"/>
      <c r="AG470" s="145"/>
      <c r="AH470" s="145"/>
      <c r="AI470" s="145"/>
      <c r="AJ470" s="145"/>
      <c r="AK470" s="145"/>
      <c r="AL470" s="145"/>
      <c r="AM470" s="145"/>
      <c r="AN470" s="145"/>
      <c r="AO470" s="145"/>
      <c r="AP470" s="145"/>
      <c r="AQ470" s="145"/>
      <c r="AR470" s="145"/>
      <c r="AS470" s="145"/>
      <c r="AT470" s="146"/>
      <c r="AU470" s="146"/>
      <c r="AV470" s="145"/>
      <c r="AW470" s="145"/>
      <c r="AX470" s="145"/>
      <c r="AY470" s="145"/>
      <c r="AZ470" s="145"/>
      <c r="BA470" s="145"/>
      <c r="BB470" s="145"/>
      <c r="BC470" s="145"/>
      <c r="BD470" s="145"/>
    </row>
    <row r="471" spans="1:56" ht="18.75" customHeight="1" x14ac:dyDescent="0.55000000000000004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  <c r="AC471" s="145"/>
      <c r="AD471" s="145"/>
      <c r="AE471" s="145"/>
      <c r="AF471" s="145"/>
      <c r="AG471" s="145"/>
      <c r="AH471" s="145"/>
      <c r="AI471" s="145"/>
      <c r="AJ471" s="145"/>
      <c r="AK471" s="145"/>
      <c r="AL471" s="145"/>
      <c r="AM471" s="145"/>
      <c r="AN471" s="145"/>
      <c r="AO471" s="145"/>
      <c r="AP471" s="145"/>
      <c r="AQ471" s="145"/>
      <c r="AR471" s="145"/>
      <c r="AS471" s="145"/>
      <c r="AT471" s="146"/>
      <c r="AU471" s="146"/>
      <c r="AV471" s="145"/>
      <c r="AW471" s="145"/>
      <c r="AX471" s="145"/>
      <c r="AY471" s="145"/>
      <c r="AZ471" s="145"/>
      <c r="BA471" s="145"/>
      <c r="BB471" s="145"/>
      <c r="BC471" s="145"/>
      <c r="BD471" s="145"/>
    </row>
    <row r="472" spans="1:56" ht="18.75" customHeight="1" x14ac:dyDescent="0.55000000000000004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  <c r="AE472" s="145"/>
      <c r="AF472" s="145"/>
      <c r="AG472" s="145"/>
      <c r="AH472" s="145"/>
      <c r="AI472" s="145"/>
      <c r="AJ472" s="145"/>
      <c r="AK472" s="145"/>
      <c r="AL472" s="145"/>
      <c r="AM472" s="145"/>
      <c r="AN472" s="145"/>
      <c r="AO472" s="145"/>
      <c r="AP472" s="145"/>
      <c r="AQ472" s="145"/>
      <c r="AR472" s="145"/>
      <c r="AS472" s="145"/>
      <c r="AT472" s="146"/>
      <c r="AU472" s="146"/>
      <c r="AV472" s="145"/>
      <c r="AW472" s="145"/>
      <c r="AX472" s="145"/>
      <c r="AY472" s="145"/>
      <c r="AZ472" s="145"/>
      <c r="BA472" s="145"/>
      <c r="BB472" s="145"/>
      <c r="BC472" s="145"/>
      <c r="BD472" s="145"/>
    </row>
    <row r="473" spans="1:56" ht="18.75" customHeight="1" x14ac:dyDescent="0.55000000000000004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  <c r="AC473" s="145"/>
      <c r="AD473" s="145"/>
      <c r="AE473" s="145"/>
      <c r="AF473" s="145"/>
      <c r="AG473" s="145"/>
      <c r="AH473" s="145"/>
      <c r="AI473" s="145"/>
      <c r="AJ473" s="145"/>
      <c r="AK473" s="145"/>
      <c r="AL473" s="145"/>
      <c r="AM473" s="145"/>
      <c r="AN473" s="145"/>
      <c r="AO473" s="145"/>
      <c r="AP473" s="145"/>
      <c r="AQ473" s="145"/>
      <c r="AR473" s="145"/>
      <c r="AS473" s="145"/>
      <c r="AT473" s="146"/>
      <c r="AU473" s="146"/>
      <c r="AV473" s="145"/>
      <c r="AW473" s="145"/>
      <c r="AX473" s="145"/>
      <c r="AY473" s="145"/>
      <c r="AZ473" s="145"/>
      <c r="BA473" s="145"/>
      <c r="BB473" s="145"/>
      <c r="BC473" s="145"/>
      <c r="BD473" s="145"/>
    </row>
    <row r="474" spans="1:56" ht="18.75" customHeight="1" x14ac:dyDescent="0.55000000000000004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  <c r="AC474" s="145"/>
      <c r="AD474" s="145"/>
      <c r="AE474" s="145"/>
      <c r="AF474" s="145"/>
      <c r="AG474" s="145"/>
      <c r="AH474" s="145"/>
      <c r="AI474" s="145"/>
      <c r="AJ474" s="145"/>
      <c r="AK474" s="145"/>
      <c r="AL474" s="145"/>
      <c r="AM474" s="145"/>
      <c r="AN474" s="145"/>
      <c r="AO474" s="145"/>
      <c r="AP474" s="145"/>
      <c r="AQ474" s="145"/>
      <c r="AR474" s="145"/>
      <c r="AS474" s="145"/>
      <c r="AT474" s="146"/>
      <c r="AU474" s="146"/>
      <c r="AV474" s="145"/>
      <c r="AW474" s="145"/>
      <c r="AX474" s="145"/>
      <c r="AY474" s="145"/>
      <c r="AZ474" s="145"/>
      <c r="BA474" s="145"/>
      <c r="BB474" s="145"/>
      <c r="BC474" s="145"/>
      <c r="BD474" s="145"/>
    </row>
    <row r="475" spans="1:56" ht="18.75" customHeight="1" x14ac:dyDescent="0.55000000000000004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  <c r="AC475" s="145"/>
      <c r="AD475" s="145"/>
      <c r="AE475" s="145"/>
      <c r="AF475" s="145"/>
      <c r="AG475" s="145"/>
      <c r="AH475" s="145"/>
      <c r="AI475" s="145"/>
      <c r="AJ475" s="145"/>
      <c r="AK475" s="145"/>
      <c r="AL475" s="145"/>
      <c r="AM475" s="145"/>
      <c r="AN475" s="145"/>
      <c r="AO475" s="145"/>
      <c r="AP475" s="145"/>
      <c r="AQ475" s="145"/>
      <c r="AR475" s="145"/>
      <c r="AS475" s="145"/>
      <c r="AT475" s="146"/>
      <c r="AU475" s="146"/>
      <c r="AV475" s="145"/>
      <c r="AW475" s="145"/>
      <c r="AX475" s="145"/>
      <c r="AY475" s="145"/>
      <c r="AZ475" s="145"/>
      <c r="BA475" s="145"/>
      <c r="BB475" s="145"/>
      <c r="BC475" s="145"/>
      <c r="BD475" s="145"/>
    </row>
    <row r="476" spans="1:56" ht="18.75" customHeight="1" x14ac:dyDescent="0.55000000000000004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  <c r="AC476" s="145"/>
      <c r="AD476" s="145"/>
      <c r="AE476" s="145"/>
      <c r="AF476" s="145"/>
      <c r="AG476" s="145"/>
      <c r="AH476" s="145"/>
      <c r="AI476" s="145"/>
      <c r="AJ476" s="145"/>
      <c r="AK476" s="145"/>
      <c r="AL476" s="145"/>
      <c r="AM476" s="145"/>
      <c r="AN476" s="145"/>
      <c r="AO476" s="145"/>
      <c r="AP476" s="145"/>
      <c r="AQ476" s="145"/>
      <c r="AR476" s="145"/>
      <c r="AS476" s="145"/>
      <c r="AT476" s="146"/>
      <c r="AU476" s="146"/>
      <c r="AV476" s="145"/>
      <c r="AW476" s="145"/>
      <c r="AX476" s="145"/>
      <c r="AY476" s="145"/>
      <c r="AZ476" s="145"/>
      <c r="BA476" s="145"/>
      <c r="BB476" s="145"/>
      <c r="BC476" s="145"/>
      <c r="BD476" s="145"/>
    </row>
    <row r="477" spans="1:56" ht="18.75" customHeight="1" x14ac:dyDescent="0.55000000000000004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  <c r="AC477" s="145"/>
      <c r="AD477" s="145"/>
      <c r="AE477" s="145"/>
      <c r="AF477" s="145"/>
      <c r="AG477" s="145"/>
      <c r="AH477" s="145"/>
      <c r="AI477" s="145"/>
      <c r="AJ477" s="145"/>
      <c r="AK477" s="145"/>
      <c r="AL477" s="145"/>
      <c r="AM477" s="145"/>
      <c r="AN477" s="145"/>
      <c r="AO477" s="145"/>
      <c r="AP477" s="145"/>
      <c r="AQ477" s="145"/>
      <c r="AR477" s="145"/>
      <c r="AS477" s="145"/>
      <c r="AT477" s="146"/>
      <c r="AU477" s="146"/>
      <c r="AV477" s="145"/>
      <c r="AW477" s="145"/>
      <c r="AX477" s="145"/>
      <c r="AY477" s="145"/>
      <c r="AZ477" s="145"/>
      <c r="BA477" s="145"/>
      <c r="BB477" s="145"/>
      <c r="BC477" s="145"/>
      <c r="BD477" s="145"/>
    </row>
    <row r="478" spans="1:56" ht="18.75" customHeight="1" x14ac:dyDescent="0.55000000000000004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  <c r="AE478" s="145"/>
      <c r="AF478" s="145"/>
      <c r="AG478" s="145"/>
      <c r="AH478" s="145"/>
      <c r="AI478" s="145"/>
      <c r="AJ478" s="145"/>
      <c r="AK478" s="145"/>
      <c r="AL478" s="145"/>
      <c r="AM478" s="145"/>
      <c r="AN478" s="145"/>
      <c r="AO478" s="145"/>
      <c r="AP478" s="145"/>
      <c r="AQ478" s="145"/>
      <c r="AR478" s="145"/>
      <c r="AS478" s="145"/>
      <c r="AT478" s="146"/>
      <c r="AU478" s="146"/>
      <c r="AV478" s="145"/>
      <c r="AW478" s="145"/>
      <c r="AX478" s="145"/>
      <c r="AY478" s="145"/>
      <c r="AZ478" s="145"/>
      <c r="BA478" s="145"/>
      <c r="BB478" s="145"/>
      <c r="BC478" s="145"/>
      <c r="BD478" s="145"/>
    </row>
    <row r="479" spans="1:56" ht="18.75" customHeight="1" x14ac:dyDescent="0.55000000000000004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  <c r="AE479" s="145"/>
      <c r="AF479" s="145"/>
      <c r="AG479" s="145"/>
      <c r="AH479" s="145"/>
      <c r="AI479" s="145"/>
      <c r="AJ479" s="145"/>
      <c r="AK479" s="145"/>
      <c r="AL479" s="145"/>
      <c r="AM479" s="145"/>
      <c r="AN479" s="145"/>
      <c r="AO479" s="145"/>
      <c r="AP479" s="145"/>
      <c r="AQ479" s="145"/>
      <c r="AR479" s="145"/>
      <c r="AS479" s="145"/>
      <c r="AT479" s="146"/>
      <c r="AU479" s="146"/>
      <c r="AV479" s="145"/>
      <c r="AW479" s="145"/>
      <c r="AX479" s="145"/>
      <c r="AY479" s="145"/>
      <c r="AZ479" s="145"/>
      <c r="BA479" s="145"/>
      <c r="BB479" s="145"/>
      <c r="BC479" s="145"/>
      <c r="BD479" s="145"/>
    </row>
    <row r="480" spans="1:56" ht="18.75" customHeight="1" x14ac:dyDescent="0.55000000000000004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  <c r="AC480" s="145"/>
      <c r="AD480" s="145"/>
      <c r="AE480" s="145"/>
      <c r="AF480" s="145"/>
      <c r="AG480" s="145"/>
      <c r="AH480" s="145"/>
      <c r="AI480" s="145"/>
      <c r="AJ480" s="145"/>
      <c r="AK480" s="145"/>
      <c r="AL480" s="145"/>
      <c r="AM480" s="145"/>
      <c r="AN480" s="145"/>
      <c r="AO480" s="145"/>
      <c r="AP480" s="145"/>
      <c r="AQ480" s="145"/>
      <c r="AR480" s="145"/>
      <c r="AS480" s="145"/>
      <c r="AT480" s="146"/>
      <c r="AU480" s="146"/>
      <c r="AV480" s="145"/>
      <c r="AW480" s="145"/>
      <c r="AX480" s="145"/>
      <c r="AY480" s="145"/>
      <c r="AZ480" s="145"/>
      <c r="BA480" s="145"/>
      <c r="BB480" s="145"/>
      <c r="BC480" s="145"/>
      <c r="BD480" s="145"/>
    </row>
    <row r="481" spans="1:56" ht="18.75" customHeight="1" x14ac:dyDescent="0.55000000000000004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  <c r="AC481" s="145"/>
      <c r="AD481" s="145"/>
      <c r="AE481" s="145"/>
      <c r="AF481" s="145"/>
      <c r="AG481" s="145"/>
      <c r="AH481" s="145"/>
      <c r="AI481" s="145"/>
      <c r="AJ481" s="145"/>
      <c r="AK481" s="145"/>
      <c r="AL481" s="145"/>
      <c r="AM481" s="145"/>
      <c r="AN481" s="145"/>
      <c r="AO481" s="145"/>
      <c r="AP481" s="145"/>
      <c r="AQ481" s="145"/>
      <c r="AR481" s="145"/>
      <c r="AS481" s="145"/>
      <c r="AT481" s="146"/>
      <c r="AU481" s="146"/>
      <c r="AV481" s="145"/>
      <c r="AW481" s="145"/>
      <c r="AX481" s="145"/>
      <c r="AY481" s="145"/>
      <c r="AZ481" s="145"/>
      <c r="BA481" s="145"/>
      <c r="BB481" s="145"/>
      <c r="BC481" s="145"/>
      <c r="BD481" s="145"/>
    </row>
    <row r="482" spans="1:56" ht="18.75" customHeight="1" x14ac:dyDescent="0.55000000000000004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  <c r="AE482" s="145"/>
      <c r="AF482" s="145"/>
      <c r="AG482" s="145"/>
      <c r="AH482" s="145"/>
      <c r="AI482" s="145"/>
      <c r="AJ482" s="145"/>
      <c r="AK482" s="145"/>
      <c r="AL482" s="145"/>
      <c r="AM482" s="145"/>
      <c r="AN482" s="145"/>
      <c r="AO482" s="145"/>
      <c r="AP482" s="145"/>
      <c r="AQ482" s="145"/>
      <c r="AR482" s="145"/>
      <c r="AS482" s="145"/>
      <c r="AT482" s="146"/>
      <c r="AU482" s="146"/>
      <c r="AV482" s="145"/>
      <c r="AW482" s="145"/>
      <c r="AX482" s="145"/>
      <c r="AY482" s="145"/>
      <c r="AZ482" s="145"/>
      <c r="BA482" s="145"/>
      <c r="BB482" s="145"/>
      <c r="BC482" s="145"/>
      <c r="BD482" s="145"/>
    </row>
    <row r="483" spans="1:56" ht="18.75" customHeight="1" x14ac:dyDescent="0.55000000000000004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  <c r="AC483" s="145"/>
      <c r="AD483" s="145"/>
      <c r="AE483" s="145"/>
      <c r="AF483" s="145"/>
      <c r="AG483" s="145"/>
      <c r="AH483" s="145"/>
      <c r="AI483" s="145"/>
      <c r="AJ483" s="145"/>
      <c r="AK483" s="145"/>
      <c r="AL483" s="145"/>
      <c r="AM483" s="145"/>
      <c r="AN483" s="145"/>
      <c r="AO483" s="145"/>
      <c r="AP483" s="145"/>
      <c r="AQ483" s="145"/>
      <c r="AR483" s="145"/>
      <c r="AS483" s="145"/>
      <c r="AT483" s="146"/>
      <c r="AU483" s="146"/>
      <c r="AV483" s="145"/>
      <c r="AW483" s="145"/>
      <c r="AX483" s="145"/>
      <c r="AY483" s="145"/>
      <c r="AZ483" s="145"/>
      <c r="BA483" s="145"/>
      <c r="BB483" s="145"/>
      <c r="BC483" s="145"/>
      <c r="BD483" s="145"/>
    </row>
    <row r="484" spans="1:56" ht="18.75" customHeight="1" x14ac:dyDescent="0.55000000000000004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  <c r="AE484" s="145"/>
      <c r="AF484" s="145"/>
      <c r="AG484" s="145"/>
      <c r="AH484" s="145"/>
      <c r="AI484" s="145"/>
      <c r="AJ484" s="145"/>
      <c r="AK484" s="145"/>
      <c r="AL484" s="145"/>
      <c r="AM484" s="145"/>
      <c r="AN484" s="145"/>
      <c r="AO484" s="145"/>
      <c r="AP484" s="145"/>
      <c r="AQ484" s="145"/>
      <c r="AR484" s="145"/>
      <c r="AS484" s="145"/>
      <c r="AT484" s="146"/>
      <c r="AU484" s="146"/>
      <c r="AV484" s="145"/>
      <c r="AW484" s="145"/>
      <c r="AX484" s="145"/>
      <c r="AY484" s="145"/>
      <c r="AZ484" s="145"/>
      <c r="BA484" s="145"/>
      <c r="BB484" s="145"/>
      <c r="BC484" s="145"/>
      <c r="BD484" s="145"/>
    </row>
    <row r="485" spans="1:56" ht="18.75" customHeight="1" x14ac:dyDescent="0.55000000000000004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  <c r="AE485" s="145"/>
      <c r="AF485" s="145"/>
      <c r="AG485" s="145"/>
      <c r="AH485" s="145"/>
      <c r="AI485" s="145"/>
      <c r="AJ485" s="145"/>
      <c r="AK485" s="145"/>
      <c r="AL485" s="145"/>
      <c r="AM485" s="145"/>
      <c r="AN485" s="145"/>
      <c r="AO485" s="145"/>
      <c r="AP485" s="145"/>
      <c r="AQ485" s="145"/>
      <c r="AR485" s="145"/>
      <c r="AS485" s="145"/>
      <c r="AT485" s="146"/>
      <c r="AU485" s="146"/>
      <c r="AV485" s="145"/>
      <c r="AW485" s="145"/>
      <c r="AX485" s="145"/>
      <c r="AY485" s="145"/>
      <c r="AZ485" s="145"/>
      <c r="BA485" s="145"/>
      <c r="BB485" s="145"/>
      <c r="BC485" s="145"/>
      <c r="BD485" s="145"/>
    </row>
    <row r="486" spans="1:56" ht="18.75" customHeight="1" x14ac:dyDescent="0.55000000000000004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  <c r="AC486" s="145"/>
      <c r="AD486" s="145"/>
      <c r="AE486" s="145"/>
      <c r="AF486" s="145"/>
      <c r="AG486" s="145"/>
      <c r="AH486" s="145"/>
      <c r="AI486" s="145"/>
      <c r="AJ486" s="145"/>
      <c r="AK486" s="145"/>
      <c r="AL486" s="145"/>
      <c r="AM486" s="145"/>
      <c r="AN486" s="145"/>
      <c r="AO486" s="145"/>
      <c r="AP486" s="145"/>
      <c r="AQ486" s="145"/>
      <c r="AR486" s="145"/>
      <c r="AS486" s="145"/>
      <c r="AT486" s="146"/>
      <c r="AU486" s="146"/>
      <c r="AV486" s="145"/>
      <c r="AW486" s="145"/>
      <c r="AX486" s="145"/>
      <c r="AY486" s="145"/>
      <c r="AZ486" s="145"/>
      <c r="BA486" s="145"/>
      <c r="BB486" s="145"/>
      <c r="BC486" s="145"/>
      <c r="BD486" s="145"/>
    </row>
    <row r="487" spans="1:56" ht="18.75" customHeight="1" x14ac:dyDescent="0.55000000000000004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  <c r="AE487" s="145"/>
      <c r="AF487" s="145"/>
      <c r="AG487" s="145"/>
      <c r="AH487" s="145"/>
      <c r="AI487" s="145"/>
      <c r="AJ487" s="145"/>
      <c r="AK487" s="145"/>
      <c r="AL487" s="145"/>
      <c r="AM487" s="145"/>
      <c r="AN487" s="145"/>
      <c r="AO487" s="145"/>
      <c r="AP487" s="145"/>
      <c r="AQ487" s="145"/>
      <c r="AR487" s="145"/>
      <c r="AS487" s="145"/>
      <c r="AT487" s="146"/>
      <c r="AU487" s="146"/>
      <c r="AV487" s="145"/>
      <c r="AW487" s="145"/>
      <c r="AX487" s="145"/>
      <c r="AY487" s="145"/>
      <c r="AZ487" s="145"/>
      <c r="BA487" s="145"/>
      <c r="BB487" s="145"/>
      <c r="BC487" s="145"/>
      <c r="BD487" s="145"/>
    </row>
    <row r="488" spans="1:56" ht="18.75" customHeight="1" x14ac:dyDescent="0.55000000000000004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  <c r="AC488" s="145"/>
      <c r="AD488" s="145"/>
      <c r="AE488" s="145"/>
      <c r="AF488" s="145"/>
      <c r="AG488" s="145"/>
      <c r="AH488" s="145"/>
      <c r="AI488" s="145"/>
      <c r="AJ488" s="145"/>
      <c r="AK488" s="145"/>
      <c r="AL488" s="145"/>
      <c r="AM488" s="145"/>
      <c r="AN488" s="145"/>
      <c r="AO488" s="145"/>
      <c r="AP488" s="145"/>
      <c r="AQ488" s="145"/>
      <c r="AR488" s="145"/>
      <c r="AS488" s="145"/>
      <c r="AT488" s="146"/>
      <c r="AU488" s="146"/>
      <c r="AV488" s="145"/>
      <c r="AW488" s="145"/>
      <c r="AX488" s="145"/>
      <c r="AY488" s="145"/>
      <c r="AZ488" s="145"/>
      <c r="BA488" s="145"/>
      <c r="BB488" s="145"/>
      <c r="BC488" s="145"/>
      <c r="BD488" s="145"/>
    </row>
    <row r="489" spans="1:56" ht="18.75" customHeight="1" x14ac:dyDescent="0.55000000000000004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  <c r="AE489" s="145"/>
      <c r="AF489" s="145"/>
      <c r="AG489" s="145"/>
      <c r="AH489" s="145"/>
      <c r="AI489" s="145"/>
      <c r="AJ489" s="145"/>
      <c r="AK489" s="145"/>
      <c r="AL489" s="145"/>
      <c r="AM489" s="145"/>
      <c r="AN489" s="145"/>
      <c r="AO489" s="145"/>
      <c r="AP489" s="145"/>
      <c r="AQ489" s="145"/>
      <c r="AR489" s="145"/>
      <c r="AS489" s="145"/>
      <c r="AT489" s="146"/>
      <c r="AU489" s="146"/>
      <c r="AV489" s="145"/>
      <c r="AW489" s="145"/>
      <c r="AX489" s="145"/>
      <c r="AY489" s="145"/>
      <c r="AZ489" s="145"/>
      <c r="BA489" s="145"/>
      <c r="BB489" s="145"/>
      <c r="BC489" s="145"/>
      <c r="BD489" s="145"/>
    </row>
    <row r="490" spans="1:56" ht="18.75" customHeight="1" x14ac:dyDescent="0.55000000000000004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  <c r="AE490" s="145"/>
      <c r="AF490" s="145"/>
      <c r="AG490" s="145"/>
      <c r="AH490" s="145"/>
      <c r="AI490" s="145"/>
      <c r="AJ490" s="145"/>
      <c r="AK490" s="145"/>
      <c r="AL490" s="145"/>
      <c r="AM490" s="145"/>
      <c r="AN490" s="145"/>
      <c r="AO490" s="145"/>
      <c r="AP490" s="145"/>
      <c r="AQ490" s="145"/>
      <c r="AR490" s="145"/>
      <c r="AS490" s="145"/>
      <c r="AT490" s="146"/>
      <c r="AU490" s="146"/>
      <c r="AV490" s="145"/>
      <c r="AW490" s="145"/>
      <c r="AX490" s="145"/>
      <c r="AY490" s="145"/>
      <c r="AZ490" s="145"/>
      <c r="BA490" s="145"/>
      <c r="BB490" s="145"/>
      <c r="BC490" s="145"/>
      <c r="BD490" s="145"/>
    </row>
    <row r="491" spans="1:56" ht="18.75" customHeight="1" x14ac:dyDescent="0.55000000000000004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  <c r="AE491" s="145"/>
      <c r="AF491" s="145"/>
      <c r="AG491" s="145"/>
      <c r="AH491" s="145"/>
      <c r="AI491" s="145"/>
      <c r="AJ491" s="145"/>
      <c r="AK491" s="145"/>
      <c r="AL491" s="145"/>
      <c r="AM491" s="145"/>
      <c r="AN491" s="145"/>
      <c r="AO491" s="145"/>
      <c r="AP491" s="145"/>
      <c r="AQ491" s="145"/>
      <c r="AR491" s="145"/>
      <c r="AS491" s="145"/>
      <c r="AT491" s="146"/>
      <c r="AU491" s="146"/>
      <c r="AV491" s="145"/>
      <c r="AW491" s="145"/>
      <c r="AX491" s="145"/>
      <c r="AY491" s="145"/>
      <c r="AZ491" s="145"/>
      <c r="BA491" s="145"/>
      <c r="BB491" s="145"/>
      <c r="BC491" s="145"/>
      <c r="BD491" s="145"/>
    </row>
    <row r="492" spans="1:56" ht="18.75" customHeight="1" x14ac:dyDescent="0.55000000000000004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  <c r="AE492" s="145"/>
      <c r="AF492" s="145"/>
      <c r="AG492" s="145"/>
      <c r="AH492" s="145"/>
      <c r="AI492" s="145"/>
      <c r="AJ492" s="145"/>
      <c r="AK492" s="145"/>
      <c r="AL492" s="145"/>
      <c r="AM492" s="145"/>
      <c r="AN492" s="145"/>
      <c r="AO492" s="145"/>
      <c r="AP492" s="145"/>
      <c r="AQ492" s="145"/>
      <c r="AR492" s="145"/>
      <c r="AS492" s="145"/>
      <c r="AT492" s="146"/>
      <c r="AU492" s="146"/>
      <c r="AV492" s="145"/>
      <c r="AW492" s="145"/>
      <c r="AX492" s="145"/>
      <c r="AY492" s="145"/>
      <c r="AZ492" s="145"/>
      <c r="BA492" s="145"/>
      <c r="BB492" s="145"/>
      <c r="BC492" s="145"/>
      <c r="BD492" s="145"/>
    </row>
    <row r="493" spans="1:56" ht="18.75" customHeight="1" x14ac:dyDescent="0.55000000000000004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  <c r="AE493" s="145"/>
      <c r="AF493" s="145"/>
      <c r="AG493" s="145"/>
      <c r="AH493" s="145"/>
      <c r="AI493" s="145"/>
      <c r="AJ493" s="145"/>
      <c r="AK493" s="145"/>
      <c r="AL493" s="145"/>
      <c r="AM493" s="145"/>
      <c r="AN493" s="145"/>
      <c r="AO493" s="145"/>
      <c r="AP493" s="145"/>
      <c r="AQ493" s="145"/>
      <c r="AR493" s="145"/>
      <c r="AS493" s="145"/>
      <c r="AT493" s="146"/>
      <c r="AU493" s="146"/>
      <c r="AV493" s="145"/>
      <c r="AW493" s="145"/>
      <c r="AX493" s="145"/>
      <c r="AY493" s="145"/>
      <c r="AZ493" s="145"/>
      <c r="BA493" s="145"/>
      <c r="BB493" s="145"/>
      <c r="BC493" s="145"/>
      <c r="BD493" s="145"/>
    </row>
    <row r="494" spans="1:56" ht="18.75" customHeight="1" x14ac:dyDescent="0.55000000000000004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  <c r="AE494" s="145"/>
      <c r="AF494" s="145"/>
      <c r="AG494" s="145"/>
      <c r="AH494" s="145"/>
      <c r="AI494" s="145"/>
      <c r="AJ494" s="145"/>
      <c r="AK494" s="145"/>
      <c r="AL494" s="145"/>
      <c r="AM494" s="145"/>
      <c r="AN494" s="145"/>
      <c r="AO494" s="145"/>
      <c r="AP494" s="145"/>
      <c r="AQ494" s="145"/>
      <c r="AR494" s="145"/>
      <c r="AS494" s="145"/>
      <c r="AT494" s="146"/>
      <c r="AU494" s="146"/>
      <c r="AV494" s="145"/>
      <c r="AW494" s="145"/>
      <c r="AX494" s="145"/>
      <c r="AY494" s="145"/>
      <c r="AZ494" s="145"/>
      <c r="BA494" s="145"/>
      <c r="BB494" s="145"/>
      <c r="BC494" s="145"/>
      <c r="BD494" s="145"/>
    </row>
    <row r="495" spans="1:56" ht="18.75" customHeight="1" x14ac:dyDescent="0.55000000000000004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  <c r="AE495" s="145"/>
      <c r="AF495" s="145"/>
      <c r="AG495" s="145"/>
      <c r="AH495" s="145"/>
      <c r="AI495" s="145"/>
      <c r="AJ495" s="145"/>
      <c r="AK495" s="145"/>
      <c r="AL495" s="145"/>
      <c r="AM495" s="145"/>
      <c r="AN495" s="145"/>
      <c r="AO495" s="145"/>
      <c r="AP495" s="145"/>
      <c r="AQ495" s="145"/>
      <c r="AR495" s="145"/>
      <c r="AS495" s="145"/>
      <c r="AT495" s="146"/>
      <c r="AU495" s="146"/>
      <c r="AV495" s="145"/>
      <c r="AW495" s="145"/>
      <c r="AX495" s="145"/>
      <c r="AY495" s="145"/>
      <c r="AZ495" s="145"/>
      <c r="BA495" s="145"/>
      <c r="BB495" s="145"/>
      <c r="BC495" s="145"/>
      <c r="BD495" s="145"/>
    </row>
    <row r="496" spans="1:56" ht="18.75" customHeight="1" x14ac:dyDescent="0.55000000000000004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  <c r="AE496" s="145"/>
      <c r="AF496" s="145"/>
      <c r="AG496" s="145"/>
      <c r="AH496" s="145"/>
      <c r="AI496" s="145"/>
      <c r="AJ496" s="145"/>
      <c r="AK496" s="145"/>
      <c r="AL496" s="145"/>
      <c r="AM496" s="145"/>
      <c r="AN496" s="145"/>
      <c r="AO496" s="145"/>
      <c r="AP496" s="145"/>
      <c r="AQ496" s="145"/>
      <c r="AR496" s="145"/>
      <c r="AS496" s="145"/>
      <c r="AT496" s="146"/>
      <c r="AU496" s="146"/>
      <c r="AV496" s="145"/>
      <c r="AW496" s="145"/>
      <c r="AX496" s="145"/>
      <c r="AY496" s="145"/>
      <c r="AZ496" s="145"/>
      <c r="BA496" s="145"/>
      <c r="BB496" s="145"/>
      <c r="BC496" s="145"/>
      <c r="BD496" s="145"/>
    </row>
    <row r="497" spans="1:56" ht="18.75" customHeight="1" x14ac:dyDescent="0.55000000000000004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  <c r="AC497" s="145"/>
      <c r="AD497" s="145"/>
      <c r="AE497" s="145"/>
      <c r="AF497" s="145"/>
      <c r="AG497" s="145"/>
      <c r="AH497" s="145"/>
      <c r="AI497" s="145"/>
      <c r="AJ497" s="145"/>
      <c r="AK497" s="145"/>
      <c r="AL497" s="145"/>
      <c r="AM497" s="145"/>
      <c r="AN497" s="145"/>
      <c r="AO497" s="145"/>
      <c r="AP497" s="145"/>
      <c r="AQ497" s="145"/>
      <c r="AR497" s="145"/>
      <c r="AS497" s="145"/>
      <c r="AT497" s="146"/>
      <c r="AU497" s="146"/>
      <c r="AV497" s="145"/>
      <c r="AW497" s="145"/>
      <c r="AX497" s="145"/>
      <c r="AY497" s="145"/>
      <c r="AZ497" s="145"/>
      <c r="BA497" s="145"/>
      <c r="BB497" s="145"/>
      <c r="BC497" s="145"/>
      <c r="BD497" s="145"/>
    </row>
    <row r="498" spans="1:56" ht="18.75" customHeight="1" x14ac:dyDescent="0.55000000000000004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  <c r="AE498" s="145"/>
      <c r="AF498" s="145"/>
      <c r="AG498" s="145"/>
      <c r="AH498" s="145"/>
      <c r="AI498" s="145"/>
      <c r="AJ498" s="145"/>
      <c r="AK498" s="145"/>
      <c r="AL498" s="145"/>
      <c r="AM498" s="145"/>
      <c r="AN498" s="145"/>
      <c r="AO498" s="145"/>
      <c r="AP498" s="145"/>
      <c r="AQ498" s="145"/>
      <c r="AR498" s="145"/>
      <c r="AS498" s="145"/>
      <c r="AT498" s="146"/>
      <c r="AU498" s="146"/>
      <c r="AV498" s="145"/>
      <c r="AW498" s="145"/>
      <c r="AX498" s="145"/>
      <c r="AY498" s="145"/>
      <c r="AZ498" s="145"/>
      <c r="BA498" s="145"/>
      <c r="BB498" s="145"/>
      <c r="BC498" s="145"/>
      <c r="BD498" s="145"/>
    </row>
    <row r="499" spans="1:56" ht="18.75" customHeight="1" x14ac:dyDescent="0.55000000000000004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6"/>
      <c r="AU499" s="146"/>
      <c r="AV499" s="145"/>
      <c r="AW499" s="145"/>
      <c r="AX499" s="145"/>
      <c r="AY499" s="145"/>
      <c r="AZ499" s="145"/>
      <c r="BA499" s="145"/>
      <c r="BB499" s="145"/>
      <c r="BC499" s="145"/>
      <c r="BD499" s="145"/>
    </row>
    <row r="500" spans="1:56" ht="18.75" customHeight="1" x14ac:dyDescent="0.55000000000000004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  <c r="AE500" s="145"/>
      <c r="AF500" s="145"/>
      <c r="AG500" s="145"/>
      <c r="AH500" s="145"/>
      <c r="AI500" s="145"/>
      <c r="AJ500" s="145"/>
      <c r="AK500" s="145"/>
      <c r="AL500" s="145"/>
      <c r="AM500" s="145"/>
      <c r="AN500" s="145"/>
      <c r="AO500" s="145"/>
      <c r="AP500" s="145"/>
      <c r="AQ500" s="145"/>
      <c r="AR500" s="145"/>
      <c r="AS500" s="145"/>
      <c r="AT500" s="146"/>
      <c r="AU500" s="146"/>
      <c r="AV500" s="145"/>
      <c r="AW500" s="145"/>
      <c r="AX500" s="145"/>
      <c r="AY500" s="145"/>
      <c r="AZ500" s="145"/>
      <c r="BA500" s="145"/>
      <c r="BB500" s="145"/>
      <c r="BC500" s="145"/>
      <c r="BD500" s="145"/>
    </row>
    <row r="501" spans="1:56" ht="18.75" customHeight="1" x14ac:dyDescent="0.55000000000000004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  <c r="AE501" s="145"/>
      <c r="AF501" s="145"/>
      <c r="AG501" s="145"/>
      <c r="AH501" s="145"/>
      <c r="AI501" s="145"/>
      <c r="AJ501" s="145"/>
      <c r="AK501" s="145"/>
      <c r="AL501" s="145"/>
      <c r="AM501" s="145"/>
      <c r="AN501" s="145"/>
      <c r="AO501" s="145"/>
      <c r="AP501" s="145"/>
      <c r="AQ501" s="145"/>
      <c r="AR501" s="145"/>
      <c r="AS501" s="145"/>
      <c r="AT501" s="146"/>
      <c r="AU501" s="146"/>
      <c r="AV501" s="145"/>
      <c r="AW501" s="145"/>
      <c r="AX501" s="145"/>
      <c r="AY501" s="145"/>
      <c r="AZ501" s="145"/>
      <c r="BA501" s="145"/>
      <c r="BB501" s="145"/>
      <c r="BC501" s="145"/>
      <c r="BD501" s="145"/>
    </row>
    <row r="502" spans="1:56" ht="18.75" customHeight="1" x14ac:dyDescent="0.55000000000000004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  <c r="AC502" s="145"/>
      <c r="AD502" s="145"/>
      <c r="AE502" s="145"/>
      <c r="AF502" s="145"/>
      <c r="AG502" s="145"/>
      <c r="AH502" s="145"/>
      <c r="AI502" s="145"/>
      <c r="AJ502" s="145"/>
      <c r="AK502" s="145"/>
      <c r="AL502" s="145"/>
      <c r="AM502" s="145"/>
      <c r="AN502" s="145"/>
      <c r="AO502" s="145"/>
      <c r="AP502" s="145"/>
      <c r="AQ502" s="145"/>
      <c r="AR502" s="145"/>
      <c r="AS502" s="145"/>
      <c r="AT502" s="146"/>
      <c r="AU502" s="146"/>
      <c r="AV502" s="145"/>
      <c r="AW502" s="145"/>
      <c r="AX502" s="145"/>
      <c r="AY502" s="145"/>
      <c r="AZ502" s="145"/>
      <c r="BA502" s="145"/>
      <c r="BB502" s="145"/>
      <c r="BC502" s="145"/>
      <c r="BD502" s="145"/>
    </row>
    <row r="503" spans="1:56" ht="18.75" customHeight="1" x14ac:dyDescent="0.55000000000000004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  <c r="AE503" s="145"/>
      <c r="AF503" s="145"/>
      <c r="AG503" s="145"/>
      <c r="AH503" s="145"/>
      <c r="AI503" s="145"/>
      <c r="AJ503" s="145"/>
      <c r="AK503" s="145"/>
      <c r="AL503" s="145"/>
      <c r="AM503" s="145"/>
      <c r="AN503" s="145"/>
      <c r="AO503" s="145"/>
      <c r="AP503" s="145"/>
      <c r="AQ503" s="145"/>
      <c r="AR503" s="145"/>
      <c r="AS503" s="145"/>
      <c r="AT503" s="146"/>
      <c r="AU503" s="146"/>
      <c r="AV503" s="145"/>
      <c r="AW503" s="145"/>
      <c r="AX503" s="145"/>
      <c r="AY503" s="145"/>
      <c r="AZ503" s="145"/>
      <c r="BA503" s="145"/>
      <c r="BB503" s="145"/>
      <c r="BC503" s="145"/>
      <c r="BD503" s="145"/>
    </row>
    <row r="504" spans="1:56" ht="18.75" customHeight="1" x14ac:dyDescent="0.55000000000000004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  <c r="AC504" s="145"/>
      <c r="AD504" s="145"/>
      <c r="AE504" s="145"/>
      <c r="AF504" s="145"/>
      <c r="AG504" s="145"/>
      <c r="AH504" s="145"/>
      <c r="AI504" s="145"/>
      <c r="AJ504" s="145"/>
      <c r="AK504" s="145"/>
      <c r="AL504" s="145"/>
      <c r="AM504" s="145"/>
      <c r="AN504" s="145"/>
      <c r="AO504" s="145"/>
      <c r="AP504" s="145"/>
      <c r="AQ504" s="145"/>
      <c r="AR504" s="145"/>
      <c r="AS504" s="145"/>
      <c r="AT504" s="146"/>
      <c r="AU504" s="146"/>
      <c r="AV504" s="145"/>
      <c r="AW504" s="145"/>
      <c r="AX504" s="145"/>
      <c r="AY504" s="145"/>
      <c r="AZ504" s="145"/>
      <c r="BA504" s="145"/>
      <c r="BB504" s="145"/>
      <c r="BC504" s="145"/>
      <c r="BD504" s="145"/>
    </row>
    <row r="505" spans="1:56" ht="18.75" customHeight="1" x14ac:dyDescent="0.55000000000000004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  <c r="AC505" s="145"/>
      <c r="AD505" s="145"/>
      <c r="AE505" s="145"/>
      <c r="AF505" s="145"/>
      <c r="AG505" s="145"/>
      <c r="AH505" s="145"/>
      <c r="AI505" s="145"/>
      <c r="AJ505" s="145"/>
      <c r="AK505" s="145"/>
      <c r="AL505" s="145"/>
      <c r="AM505" s="145"/>
      <c r="AN505" s="145"/>
      <c r="AO505" s="145"/>
      <c r="AP505" s="145"/>
      <c r="AQ505" s="145"/>
      <c r="AR505" s="145"/>
      <c r="AS505" s="145"/>
      <c r="AT505" s="146"/>
      <c r="AU505" s="146"/>
      <c r="AV505" s="145"/>
      <c r="AW505" s="145"/>
      <c r="AX505" s="145"/>
      <c r="AY505" s="145"/>
      <c r="AZ505" s="145"/>
      <c r="BA505" s="145"/>
      <c r="BB505" s="145"/>
      <c r="BC505" s="145"/>
      <c r="BD505" s="145"/>
    </row>
    <row r="506" spans="1:56" ht="18.75" customHeight="1" x14ac:dyDescent="0.55000000000000004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  <c r="AC506" s="145"/>
      <c r="AD506" s="145"/>
      <c r="AE506" s="145"/>
      <c r="AF506" s="145"/>
      <c r="AG506" s="145"/>
      <c r="AH506" s="145"/>
      <c r="AI506" s="145"/>
      <c r="AJ506" s="145"/>
      <c r="AK506" s="145"/>
      <c r="AL506" s="145"/>
      <c r="AM506" s="145"/>
      <c r="AN506" s="145"/>
      <c r="AO506" s="145"/>
      <c r="AP506" s="145"/>
      <c r="AQ506" s="145"/>
      <c r="AR506" s="145"/>
      <c r="AS506" s="145"/>
      <c r="AT506" s="146"/>
      <c r="AU506" s="146"/>
      <c r="AV506" s="145"/>
      <c r="AW506" s="145"/>
      <c r="AX506" s="145"/>
      <c r="AY506" s="145"/>
      <c r="AZ506" s="145"/>
      <c r="BA506" s="145"/>
      <c r="BB506" s="145"/>
      <c r="BC506" s="145"/>
      <c r="BD506" s="145"/>
    </row>
    <row r="507" spans="1:56" ht="18.75" customHeight="1" x14ac:dyDescent="0.55000000000000004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  <c r="AC507" s="145"/>
      <c r="AD507" s="145"/>
      <c r="AE507" s="145"/>
      <c r="AF507" s="145"/>
      <c r="AG507" s="145"/>
      <c r="AH507" s="145"/>
      <c r="AI507" s="145"/>
      <c r="AJ507" s="145"/>
      <c r="AK507" s="145"/>
      <c r="AL507" s="145"/>
      <c r="AM507" s="145"/>
      <c r="AN507" s="145"/>
      <c r="AO507" s="145"/>
      <c r="AP507" s="145"/>
      <c r="AQ507" s="145"/>
      <c r="AR507" s="145"/>
      <c r="AS507" s="145"/>
      <c r="AT507" s="146"/>
      <c r="AU507" s="146"/>
      <c r="AV507" s="145"/>
      <c r="AW507" s="145"/>
      <c r="AX507" s="145"/>
      <c r="AY507" s="145"/>
      <c r="AZ507" s="145"/>
      <c r="BA507" s="145"/>
      <c r="BB507" s="145"/>
      <c r="BC507" s="145"/>
      <c r="BD507" s="145"/>
    </row>
    <row r="508" spans="1:56" ht="18.75" customHeight="1" x14ac:dyDescent="0.55000000000000004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  <c r="AC508" s="145"/>
      <c r="AD508" s="145"/>
      <c r="AE508" s="145"/>
      <c r="AF508" s="145"/>
      <c r="AG508" s="145"/>
      <c r="AH508" s="145"/>
      <c r="AI508" s="145"/>
      <c r="AJ508" s="145"/>
      <c r="AK508" s="145"/>
      <c r="AL508" s="145"/>
      <c r="AM508" s="145"/>
      <c r="AN508" s="145"/>
      <c r="AO508" s="145"/>
      <c r="AP508" s="145"/>
      <c r="AQ508" s="145"/>
      <c r="AR508" s="145"/>
      <c r="AS508" s="145"/>
      <c r="AT508" s="146"/>
      <c r="AU508" s="146"/>
      <c r="AV508" s="145"/>
      <c r="AW508" s="145"/>
      <c r="AX508" s="145"/>
      <c r="AY508" s="145"/>
      <c r="AZ508" s="145"/>
      <c r="BA508" s="145"/>
      <c r="BB508" s="145"/>
      <c r="BC508" s="145"/>
      <c r="BD508" s="145"/>
    </row>
    <row r="509" spans="1:56" ht="18.75" customHeight="1" x14ac:dyDescent="0.55000000000000004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  <c r="AC509" s="145"/>
      <c r="AD509" s="145"/>
      <c r="AE509" s="145"/>
      <c r="AF509" s="145"/>
      <c r="AG509" s="145"/>
      <c r="AH509" s="145"/>
      <c r="AI509" s="145"/>
      <c r="AJ509" s="145"/>
      <c r="AK509" s="145"/>
      <c r="AL509" s="145"/>
      <c r="AM509" s="145"/>
      <c r="AN509" s="145"/>
      <c r="AO509" s="145"/>
      <c r="AP509" s="145"/>
      <c r="AQ509" s="145"/>
      <c r="AR509" s="145"/>
      <c r="AS509" s="145"/>
      <c r="AT509" s="146"/>
      <c r="AU509" s="146"/>
      <c r="AV509" s="145"/>
      <c r="AW509" s="145"/>
      <c r="AX509" s="145"/>
      <c r="AY509" s="145"/>
      <c r="AZ509" s="145"/>
      <c r="BA509" s="145"/>
      <c r="BB509" s="145"/>
      <c r="BC509" s="145"/>
      <c r="BD509" s="145"/>
    </row>
    <row r="510" spans="1:56" ht="18.75" customHeight="1" x14ac:dyDescent="0.55000000000000004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  <c r="AC510" s="145"/>
      <c r="AD510" s="145"/>
      <c r="AE510" s="145"/>
      <c r="AF510" s="145"/>
      <c r="AG510" s="145"/>
      <c r="AH510" s="145"/>
      <c r="AI510" s="145"/>
      <c r="AJ510" s="145"/>
      <c r="AK510" s="145"/>
      <c r="AL510" s="145"/>
      <c r="AM510" s="145"/>
      <c r="AN510" s="145"/>
      <c r="AO510" s="145"/>
      <c r="AP510" s="145"/>
      <c r="AQ510" s="145"/>
      <c r="AR510" s="145"/>
      <c r="AS510" s="145"/>
      <c r="AT510" s="146"/>
      <c r="AU510" s="146"/>
      <c r="AV510" s="145"/>
      <c r="AW510" s="145"/>
      <c r="AX510" s="145"/>
      <c r="AY510" s="145"/>
      <c r="AZ510" s="145"/>
      <c r="BA510" s="145"/>
      <c r="BB510" s="145"/>
      <c r="BC510" s="145"/>
      <c r="BD510" s="145"/>
    </row>
    <row r="511" spans="1:56" ht="18.75" customHeight="1" x14ac:dyDescent="0.55000000000000004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  <c r="AC511" s="145"/>
      <c r="AD511" s="145"/>
      <c r="AE511" s="145"/>
      <c r="AF511" s="145"/>
      <c r="AG511" s="145"/>
      <c r="AH511" s="145"/>
      <c r="AI511" s="145"/>
      <c r="AJ511" s="145"/>
      <c r="AK511" s="145"/>
      <c r="AL511" s="145"/>
      <c r="AM511" s="145"/>
      <c r="AN511" s="145"/>
      <c r="AO511" s="145"/>
      <c r="AP511" s="145"/>
      <c r="AQ511" s="145"/>
      <c r="AR511" s="145"/>
      <c r="AS511" s="145"/>
      <c r="AT511" s="146"/>
      <c r="AU511" s="146"/>
      <c r="AV511" s="145"/>
      <c r="AW511" s="145"/>
      <c r="AX511" s="145"/>
      <c r="AY511" s="145"/>
      <c r="AZ511" s="145"/>
      <c r="BA511" s="145"/>
      <c r="BB511" s="145"/>
      <c r="BC511" s="145"/>
      <c r="BD511" s="145"/>
    </row>
    <row r="512" spans="1:56" ht="18.75" customHeight="1" x14ac:dyDescent="0.55000000000000004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  <c r="AC512" s="145"/>
      <c r="AD512" s="145"/>
      <c r="AE512" s="145"/>
      <c r="AF512" s="145"/>
      <c r="AG512" s="145"/>
      <c r="AH512" s="145"/>
      <c r="AI512" s="145"/>
      <c r="AJ512" s="145"/>
      <c r="AK512" s="145"/>
      <c r="AL512" s="145"/>
      <c r="AM512" s="145"/>
      <c r="AN512" s="145"/>
      <c r="AO512" s="145"/>
      <c r="AP512" s="145"/>
      <c r="AQ512" s="145"/>
      <c r="AR512" s="145"/>
      <c r="AS512" s="145"/>
      <c r="AT512" s="146"/>
      <c r="AU512" s="146"/>
      <c r="AV512" s="145"/>
      <c r="AW512" s="145"/>
      <c r="AX512" s="145"/>
      <c r="AY512" s="145"/>
      <c r="AZ512" s="145"/>
      <c r="BA512" s="145"/>
      <c r="BB512" s="145"/>
      <c r="BC512" s="145"/>
      <c r="BD512" s="145"/>
    </row>
    <row r="513" spans="1:56" ht="18.75" customHeight="1" x14ac:dyDescent="0.55000000000000004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  <c r="AE513" s="145"/>
      <c r="AF513" s="145"/>
      <c r="AG513" s="145"/>
      <c r="AH513" s="145"/>
      <c r="AI513" s="145"/>
      <c r="AJ513" s="145"/>
      <c r="AK513" s="145"/>
      <c r="AL513" s="145"/>
      <c r="AM513" s="145"/>
      <c r="AN513" s="145"/>
      <c r="AO513" s="145"/>
      <c r="AP513" s="145"/>
      <c r="AQ513" s="145"/>
      <c r="AR513" s="145"/>
      <c r="AS513" s="145"/>
      <c r="AT513" s="146"/>
      <c r="AU513" s="146"/>
      <c r="AV513" s="145"/>
      <c r="AW513" s="145"/>
      <c r="AX513" s="145"/>
      <c r="AY513" s="145"/>
      <c r="AZ513" s="145"/>
      <c r="BA513" s="145"/>
      <c r="BB513" s="145"/>
      <c r="BC513" s="145"/>
      <c r="BD513" s="145"/>
    </row>
    <row r="514" spans="1:56" ht="18.75" customHeight="1" x14ac:dyDescent="0.55000000000000004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  <c r="AE514" s="145"/>
      <c r="AF514" s="145"/>
      <c r="AG514" s="145"/>
      <c r="AH514" s="145"/>
      <c r="AI514" s="145"/>
      <c r="AJ514" s="145"/>
      <c r="AK514" s="145"/>
      <c r="AL514" s="145"/>
      <c r="AM514" s="145"/>
      <c r="AN514" s="145"/>
      <c r="AO514" s="145"/>
      <c r="AP514" s="145"/>
      <c r="AQ514" s="145"/>
      <c r="AR514" s="145"/>
      <c r="AS514" s="145"/>
      <c r="AT514" s="146"/>
      <c r="AU514" s="146"/>
      <c r="AV514" s="145"/>
      <c r="AW514" s="145"/>
      <c r="AX514" s="145"/>
      <c r="AY514" s="145"/>
      <c r="AZ514" s="145"/>
      <c r="BA514" s="145"/>
      <c r="BB514" s="145"/>
      <c r="BC514" s="145"/>
      <c r="BD514" s="145"/>
    </row>
    <row r="515" spans="1:56" ht="18.75" customHeight="1" x14ac:dyDescent="0.55000000000000004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  <c r="AE515" s="145"/>
      <c r="AF515" s="145"/>
      <c r="AG515" s="145"/>
      <c r="AH515" s="145"/>
      <c r="AI515" s="145"/>
      <c r="AJ515" s="145"/>
      <c r="AK515" s="145"/>
      <c r="AL515" s="145"/>
      <c r="AM515" s="145"/>
      <c r="AN515" s="145"/>
      <c r="AO515" s="145"/>
      <c r="AP515" s="145"/>
      <c r="AQ515" s="145"/>
      <c r="AR515" s="145"/>
      <c r="AS515" s="145"/>
      <c r="AT515" s="146"/>
      <c r="AU515" s="146"/>
      <c r="AV515" s="145"/>
      <c r="AW515" s="145"/>
      <c r="AX515" s="145"/>
      <c r="AY515" s="145"/>
      <c r="AZ515" s="145"/>
      <c r="BA515" s="145"/>
      <c r="BB515" s="145"/>
      <c r="BC515" s="145"/>
      <c r="BD515" s="145"/>
    </row>
    <row r="516" spans="1:56" ht="18.75" customHeight="1" x14ac:dyDescent="0.55000000000000004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  <c r="AE516" s="145"/>
      <c r="AF516" s="145"/>
      <c r="AG516" s="145"/>
      <c r="AH516" s="145"/>
      <c r="AI516" s="145"/>
      <c r="AJ516" s="145"/>
      <c r="AK516" s="145"/>
      <c r="AL516" s="145"/>
      <c r="AM516" s="145"/>
      <c r="AN516" s="145"/>
      <c r="AO516" s="145"/>
      <c r="AP516" s="145"/>
      <c r="AQ516" s="145"/>
      <c r="AR516" s="145"/>
      <c r="AS516" s="145"/>
      <c r="AT516" s="146"/>
      <c r="AU516" s="146"/>
      <c r="AV516" s="145"/>
      <c r="AW516" s="145"/>
      <c r="AX516" s="145"/>
      <c r="AY516" s="145"/>
      <c r="AZ516" s="145"/>
      <c r="BA516" s="145"/>
      <c r="BB516" s="145"/>
      <c r="BC516" s="145"/>
      <c r="BD516" s="145"/>
    </row>
    <row r="517" spans="1:56" ht="18.75" customHeight="1" x14ac:dyDescent="0.55000000000000004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  <c r="AE517" s="145"/>
      <c r="AF517" s="145"/>
      <c r="AG517" s="145"/>
      <c r="AH517" s="145"/>
      <c r="AI517" s="145"/>
      <c r="AJ517" s="145"/>
      <c r="AK517" s="145"/>
      <c r="AL517" s="145"/>
      <c r="AM517" s="145"/>
      <c r="AN517" s="145"/>
      <c r="AO517" s="145"/>
      <c r="AP517" s="145"/>
      <c r="AQ517" s="145"/>
      <c r="AR517" s="145"/>
      <c r="AS517" s="145"/>
      <c r="AT517" s="146"/>
      <c r="AU517" s="146"/>
      <c r="AV517" s="145"/>
      <c r="AW517" s="145"/>
      <c r="AX517" s="145"/>
      <c r="AY517" s="145"/>
      <c r="AZ517" s="145"/>
      <c r="BA517" s="145"/>
      <c r="BB517" s="145"/>
      <c r="BC517" s="145"/>
      <c r="BD517" s="145"/>
    </row>
    <row r="518" spans="1:56" ht="18.75" customHeight="1" x14ac:dyDescent="0.55000000000000004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  <c r="AE518" s="145"/>
      <c r="AF518" s="145"/>
      <c r="AG518" s="145"/>
      <c r="AH518" s="145"/>
      <c r="AI518" s="145"/>
      <c r="AJ518" s="145"/>
      <c r="AK518" s="145"/>
      <c r="AL518" s="145"/>
      <c r="AM518" s="145"/>
      <c r="AN518" s="145"/>
      <c r="AO518" s="145"/>
      <c r="AP518" s="145"/>
      <c r="AQ518" s="145"/>
      <c r="AR518" s="145"/>
      <c r="AS518" s="145"/>
      <c r="AT518" s="146"/>
      <c r="AU518" s="146"/>
      <c r="AV518" s="145"/>
      <c r="AW518" s="145"/>
      <c r="AX518" s="145"/>
      <c r="AY518" s="145"/>
      <c r="AZ518" s="145"/>
      <c r="BA518" s="145"/>
      <c r="BB518" s="145"/>
      <c r="BC518" s="145"/>
      <c r="BD518" s="145"/>
    </row>
    <row r="519" spans="1:56" ht="18.75" customHeight="1" x14ac:dyDescent="0.55000000000000004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  <c r="AE519" s="145"/>
      <c r="AF519" s="145"/>
      <c r="AG519" s="145"/>
      <c r="AH519" s="145"/>
      <c r="AI519" s="145"/>
      <c r="AJ519" s="145"/>
      <c r="AK519" s="145"/>
      <c r="AL519" s="145"/>
      <c r="AM519" s="145"/>
      <c r="AN519" s="145"/>
      <c r="AO519" s="145"/>
      <c r="AP519" s="145"/>
      <c r="AQ519" s="145"/>
      <c r="AR519" s="145"/>
      <c r="AS519" s="145"/>
      <c r="AT519" s="146"/>
      <c r="AU519" s="146"/>
      <c r="AV519" s="145"/>
      <c r="AW519" s="145"/>
      <c r="AX519" s="145"/>
      <c r="AY519" s="145"/>
      <c r="AZ519" s="145"/>
      <c r="BA519" s="145"/>
      <c r="BB519" s="145"/>
      <c r="BC519" s="145"/>
      <c r="BD519" s="145"/>
    </row>
    <row r="520" spans="1:56" ht="18.75" customHeight="1" x14ac:dyDescent="0.55000000000000004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  <c r="AE520" s="145"/>
      <c r="AF520" s="145"/>
      <c r="AG520" s="145"/>
      <c r="AH520" s="145"/>
      <c r="AI520" s="145"/>
      <c r="AJ520" s="145"/>
      <c r="AK520" s="145"/>
      <c r="AL520" s="145"/>
      <c r="AM520" s="145"/>
      <c r="AN520" s="145"/>
      <c r="AO520" s="145"/>
      <c r="AP520" s="145"/>
      <c r="AQ520" s="145"/>
      <c r="AR520" s="145"/>
      <c r="AS520" s="145"/>
      <c r="AT520" s="146"/>
      <c r="AU520" s="146"/>
      <c r="AV520" s="145"/>
      <c r="AW520" s="145"/>
      <c r="AX520" s="145"/>
      <c r="AY520" s="145"/>
      <c r="AZ520" s="145"/>
      <c r="BA520" s="145"/>
      <c r="BB520" s="145"/>
      <c r="BC520" s="145"/>
      <c r="BD520" s="145"/>
    </row>
    <row r="521" spans="1:56" ht="18.75" customHeight="1" x14ac:dyDescent="0.55000000000000004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6"/>
      <c r="AU521" s="146"/>
      <c r="AV521" s="145"/>
      <c r="AW521" s="145"/>
      <c r="AX521" s="145"/>
      <c r="AY521" s="145"/>
      <c r="AZ521" s="145"/>
      <c r="BA521" s="145"/>
      <c r="BB521" s="145"/>
      <c r="BC521" s="145"/>
      <c r="BD521" s="145"/>
    </row>
    <row r="522" spans="1:56" ht="18.75" customHeight="1" x14ac:dyDescent="0.55000000000000004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  <c r="AE522" s="145"/>
      <c r="AF522" s="145"/>
      <c r="AG522" s="145"/>
      <c r="AH522" s="145"/>
      <c r="AI522" s="145"/>
      <c r="AJ522" s="145"/>
      <c r="AK522" s="145"/>
      <c r="AL522" s="145"/>
      <c r="AM522" s="145"/>
      <c r="AN522" s="145"/>
      <c r="AO522" s="145"/>
      <c r="AP522" s="145"/>
      <c r="AQ522" s="145"/>
      <c r="AR522" s="145"/>
      <c r="AS522" s="145"/>
      <c r="AT522" s="146"/>
      <c r="AU522" s="146"/>
      <c r="AV522" s="145"/>
      <c r="AW522" s="145"/>
      <c r="AX522" s="145"/>
      <c r="AY522" s="145"/>
      <c r="AZ522" s="145"/>
      <c r="BA522" s="145"/>
      <c r="BB522" s="145"/>
      <c r="BC522" s="145"/>
      <c r="BD522" s="145"/>
    </row>
    <row r="523" spans="1:56" ht="18.75" customHeight="1" x14ac:dyDescent="0.55000000000000004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  <c r="AE523" s="145"/>
      <c r="AF523" s="145"/>
      <c r="AG523" s="145"/>
      <c r="AH523" s="145"/>
      <c r="AI523" s="145"/>
      <c r="AJ523" s="145"/>
      <c r="AK523" s="145"/>
      <c r="AL523" s="145"/>
      <c r="AM523" s="145"/>
      <c r="AN523" s="145"/>
      <c r="AO523" s="145"/>
      <c r="AP523" s="145"/>
      <c r="AQ523" s="145"/>
      <c r="AR523" s="145"/>
      <c r="AS523" s="145"/>
      <c r="AT523" s="146"/>
      <c r="AU523" s="146"/>
      <c r="AV523" s="145"/>
      <c r="AW523" s="145"/>
      <c r="AX523" s="145"/>
      <c r="AY523" s="145"/>
      <c r="AZ523" s="145"/>
      <c r="BA523" s="145"/>
      <c r="BB523" s="145"/>
      <c r="BC523" s="145"/>
      <c r="BD523" s="145"/>
    </row>
    <row r="524" spans="1:56" ht="18.75" customHeight="1" x14ac:dyDescent="0.55000000000000004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  <c r="AE524" s="145"/>
      <c r="AF524" s="145"/>
      <c r="AG524" s="145"/>
      <c r="AH524" s="145"/>
      <c r="AI524" s="145"/>
      <c r="AJ524" s="145"/>
      <c r="AK524" s="145"/>
      <c r="AL524" s="145"/>
      <c r="AM524" s="145"/>
      <c r="AN524" s="145"/>
      <c r="AO524" s="145"/>
      <c r="AP524" s="145"/>
      <c r="AQ524" s="145"/>
      <c r="AR524" s="145"/>
      <c r="AS524" s="145"/>
      <c r="AT524" s="146"/>
      <c r="AU524" s="146"/>
      <c r="AV524" s="145"/>
      <c r="AW524" s="145"/>
      <c r="AX524" s="145"/>
      <c r="AY524" s="145"/>
      <c r="AZ524" s="145"/>
      <c r="BA524" s="145"/>
      <c r="BB524" s="145"/>
      <c r="BC524" s="145"/>
      <c r="BD524" s="145"/>
    </row>
    <row r="525" spans="1:56" ht="18.75" customHeight="1" x14ac:dyDescent="0.55000000000000004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  <c r="AE525" s="145"/>
      <c r="AF525" s="145"/>
      <c r="AG525" s="145"/>
      <c r="AH525" s="145"/>
      <c r="AI525" s="145"/>
      <c r="AJ525" s="145"/>
      <c r="AK525" s="145"/>
      <c r="AL525" s="145"/>
      <c r="AM525" s="145"/>
      <c r="AN525" s="145"/>
      <c r="AO525" s="145"/>
      <c r="AP525" s="145"/>
      <c r="AQ525" s="145"/>
      <c r="AR525" s="145"/>
      <c r="AS525" s="145"/>
      <c r="AT525" s="146"/>
      <c r="AU525" s="146"/>
      <c r="AV525" s="145"/>
      <c r="AW525" s="145"/>
      <c r="AX525" s="145"/>
      <c r="AY525" s="145"/>
      <c r="AZ525" s="145"/>
      <c r="BA525" s="145"/>
      <c r="BB525" s="145"/>
      <c r="BC525" s="145"/>
      <c r="BD525" s="145"/>
    </row>
    <row r="526" spans="1:56" ht="18.75" customHeight="1" x14ac:dyDescent="0.55000000000000004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  <c r="AE526" s="145"/>
      <c r="AF526" s="145"/>
      <c r="AG526" s="145"/>
      <c r="AH526" s="145"/>
      <c r="AI526" s="145"/>
      <c r="AJ526" s="145"/>
      <c r="AK526" s="145"/>
      <c r="AL526" s="145"/>
      <c r="AM526" s="145"/>
      <c r="AN526" s="145"/>
      <c r="AO526" s="145"/>
      <c r="AP526" s="145"/>
      <c r="AQ526" s="145"/>
      <c r="AR526" s="145"/>
      <c r="AS526" s="145"/>
      <c r="AT526" s="146"/>
      <c r="AU526" s="146"/>
      <c r="AV526" s="145"/>
      <c r="AW526" s="145"/>
      <c r="AX526" s="145"/>
      <c r="AY526" s="145"/>
      <c r="AZ526" s="145"/>
      <c r="BA526" s="145"/>
      <c r="BB526" s="145"/>
      <c r="BC526" s="145"/>
      <c r="BD526" s="145"/>
    </row>
    <row r="527" spans="1:56" ht="18.75" customHeight="1" x14ac:dyDescent="0.55000000000000004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  <c r="AE527" s="145"/>
      <c r="AF527" s="145"/>
      <c r="AG527" s="145"/>
      <c r="AH527" s="145"/>
      <c r="AI527" s="145"/>
      <c r="AJ527" s="145"/>
      <c r="AK527" s="145"/>
      <c r="AL527" s="145"/>
      <c r="AM527" s="145"/>
      <c r="AN527" s="145"/>
      <c r="AO527" s="145"/>
      <c r="AP527" s="145"/>
      <c r="AQ527" s="145"/>
      <c r="AR527" s="145"/>
      <c r="AS527" s="145"/>
      <c r="AT527" s="146"/>
      <c r="AU527" s="146"/>
      <c r="AV527" s="145"/>
      <c r="AW527" s="145"/>
      <c r="AX527" s="145"/>
      <c r="AY527" s="145"/>
      <c r="AZ527" s="145"/>
      <c r="BA527" s="145"/>
      <c r="BB527" s="145"/>
      <c r="BC527" s="145"/>
      <c r="BD527" s="145"/>
    </row>
    <row r="528" spans="1:56" ht="18.75" customHeight="1" x14ac:dyDescent="0.55000000000000004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  <c r="AC528" s="145"/>
      <c r="AD528" s="145"/>
      <c r="AE528" s="145"/>
      <c r="AF528" s="145"/>
      <c r="AG528" s="145"/>
      <c r="AH528" s="145"/>
      <c r="AI528" s="145"/>
      <c r="AJ528" s="145"/>
      <c r="AK528" s="145"/>
      <c r="AL528" s="145"/>
      <c r="AM528" s="145"/>
      <c r="AN528" s="145"/>
      <c r="AO528" s="145"/>
      <c r="AP528" s="145"/>
      <c r="AQ528" s="145"/>
      <c r="AR528" s="145"/>
      <c r="AS528" s="145"/>
      <c r="AT528" s="146"/>
      <c r="AU528" s="146"/>
      <c r="AV528" s="145"/>
      <c r="AW528" s="145"/>
      <c r="AX528" s="145"/>
      <c r="AY528" s="145"/>
      <c r="AZ528" s="145"/>
      <c r="BA528" s="145"/>
      <c r="BB528" s="145"/>
      <c r="BC528" s="145"/>
      <c r="BD528" s="145"/>
    </row>
    <row r="529" spans="1:56" ht="18.75" customHeight="1" x14ac:dyDescent="0.55000000000000004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  <c r="AC529" s="145"/>
      <c r="AD529" s="145"/>
      <c r="AE529" s="145"/>
      <c r="AF529" s="145"/>
      <c r="AG529" s="145"/>
      <c r="AH529" s="145"/>
      <c r="AI529" s="145"/>
      <c r="AJ529" s="145"/>
      <c r="AK529" s="145"/>
      <c r="AL529" s="145"/>
      <c r="AM529" s="145"/>
      <c r="AN529" s="145"/>
      <c r="AO529" s="145"/>
      <c r="AP529" s="145"/>
      <c r="AQ529" s="145"/>
      <c r="AR529" s="145"/>
      <c r="AS529" s="145"/>
      <c r="AT529" s="146"/>
      <c r="AU529" s="146"/>
      <c r="AV529" s="145"/>
      <c r="AW529" s="145"/>
      <c r="AX529" s="145"/>
      <c r="AY529" s="145"/>
      <c r="AZ529" s="145"/>
      <c r="BA529" s="145"/>
      <c r="BB529" s="145"/>
      <c r="BC529" s="145"/>
      <c r="BD529" s="145"/>
    </row>
    <row r="530" spans="1:56" ht="18.75" customHeight="1" x14ac:dyDescent="0.55000000000000004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  <c r="AC530" s="145"/>
      <c r="AD530" s="145"/>
      <c r="AE530" s="145"/>
      <c r="AF530" s="145"/>
      <c r="AG530" s="145"/>
      <c r="AH530" s="145"/>
      <c r="AI530" s="145"/>
      <c r="AJ530" s="145"/>
      <c r="AK530" s="145"/>
      <c r="AL530" s="145"/>
      <c r="AM530" s="145"/>
      <c r="AN530" s="145"/>
      <c r="AO530" s="145"/>
      <c r="AP530" s="145"/>
      <c r="AQ530" s="145"/>
      <c r="AR530" s="145"/>
      <c r="AS530" s="145"/>
      <c r="AT530" s="146"/>
      <c r="AU530" s="146"/>
      <c r="AV530" s="145"/>
      <c r="AW530" s="145"/>
      <c r="AX530" s="145"/>
      <c r="AY530" s="145"/>
      <c r="AZ530" s="145"/>
      <c r="BA530" s="145"/>
      <c r="BB530" s="145"/>
      <c r="BC530" s="145"/>
      <c r="BD530" s="145"/>
    </row>
    <row r="531" spans="1:56" ht="18.75" customHeight="1" x14ac:dyDescent="0.55000000000000004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  <c r="AC531" s="145"/>
      <c r="AD531" s="145"/>
      <c r="AE531" s="145"/>
      <c r="AF531" s="145"/>
      <c r="AG531" s="145"/>
      <c r="AH531" s="145"/>
      <c r="AI531" s="145"/>
      <c r="AJ531" s="145"/>
      <c r="AK531" s="145"/>
      <c r="AL531" s="145"/>
      <c r="AM531" s="145"/>
      <c r="AN531" s="145"/>
      <c r="AO531" s="145"/>
      <c r="AP531" s="145"/>
      <c r="AQ531" s="145"/>
      <c r="AR531" s="145"/>
      <c r="AS531" s="145"/>
      <c r="AT531" s="146"/>
      <c r="AU531" s="146"/>
      <c r="AV531" s="145"/>
      <c r="AW531" s="145"/>
      <c r="AX531" s="145"/>
      <c r="AY531" s="145"/>
      <c r="AZ531" s="145"/>
      <c r="BA531" s="145"/>
      <c r="BB531" s="145"/>
      <c r="BC531" s="145"/>
      <c r="BD531" s="145"/>
    </row>
    <row r="532" spans="1:56" ht="18.75" customHeight="1" x14ac:dyDescent="0.55000000000000004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  <c r="AC532" s="145"/>
      <c r="AD532" s="145"/>
      <c r="AE532" s="145"/>
      <c r="AF532" s="145"/>
      <c r="AG532" s="145"/>
      <c r="AH532" s="145"/>
      <c r="AI532" s="145"/>
      <c r="AJ532" s="145"/>
      <c r="AK532" s="145"/>
      <c r="AL532" s="145"/>
      <c r="AM532" s="145"/>
      <c r="AN532" s="145"/>
      <c r="AO532" s="145"/>
      <c r="AP532" s="145"/>
      <c r="AQ532" s="145"/>
      <c r="AR532" s="145"/>
      <c r="AS532" s="145"/>
      <c r="AT532" s="146"/>
      <c r="AU532" s="146"/>
      <c r="AV532" s="145"/>
      <c r="AW532" s="145"/>
      <c r="AX532" s="145"/>
      <c r="AY532" s="145"/>
      <c r="AZ532" s="145"/>
      <c r="BA532" s="145"/>
      <c r="BB532" s="145"/>
      <c r="BC532" s="145"/>
      <c r="BD532" s="145"/>
    </row>
    <row r="533" spans="1:56" ht="18.75" customHeight="1" x14ac:dyDescent="0.55000000000000004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  <c r="AC533" s="145"/>
      <c r="AD533" s="145"/>
      <c r="AE533" s="145"/>
      <c r="AF533" s="145"/>
      <c r="AG533" s="145"/>
      <c r="AH533" s="145"/>
      <c r="AI533" s="145"/>
      <c r="AJ533" s="145"/>
      <c r="AK533" s="145"/>
      <c r="AL533" s="145"/>
      <c r="AM533" s="145"/>
      <c r="AN533" s="145"/>
      <c r="AO533" s="145"/>
      <c r="AP533" s="145"/>
      <c r="AQ533" s="145"/>
      <c r="AR533" s="145"/>
      <c r="AS533" s="145"/>
      <c r="AT533" s="146"/>
      <c r="AU533" s="146"/>
      <c r="AV533" s="145"/>
      <c r="AW533" s="145"/>
      <c r="AX533" s="145"/>
      <c r="AY533" s="145"/>
      <c r="AZ533" s="145"/>
      <c r="BA533" s="145"/>
      <c r="BB533" s="145"/>
      <c r="BC533" s="145"/>
      <c r="BD533" s="145"/>
    </row>
    <row r="534" spans="1:56" ht="18.75" customHeight="1" x14ac:dyDescent="0.55000000000000004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  <c r="AC534" s="145"/>
      <c r="AD534" s="145"/>
      <c r="AE534" s="145"/>
      <c r="AF534" s="145"/>
      <c r="AG534" s="145"/>
      <c r="AH534" s="145"/>
      <c r="AI534" s="145"/>
      <c r="AJ534" s="145"/>
      <c r="AK534" s="145"/>
      <c r="AL534" s="145"/>
      <c r="AM534" s="145"/>
      <c r="AN534" s="145"/>
      <c r="AO534" s="145"/>
      <c r="AP534" s="145"/>
      <c r="AQ534" s="145"/>
      <c r="AR534" s="145"/>
      <c r="AS534" s="145"/>
      <c r="AT534" s="146"/>
      <c r="AU534" s="146"/>
      <c r="AV534" s="145"/>
      <c r="AW534" s="145"/>
      <c r="AX534" s="145"/>
      <c r="AY534" s="145"/>
      <c r="AZ534" s="145"/>
      <c r="BA534" s="145"/>
      <c r="BB534" s="145"/>
      <c r="BC534" s="145"/>
      <c r="BD534" s="145"/>
    </row>
    <row r="535" spans="1:56" ht="18.75" customHeight="1" x14ac:dyDescent="0.55000000000000004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  <c r="AC535" s="145"/>
      <c r="AD535" s="145"/>
      <c r="AE535" s="145"/>
      <c r="AF535" s="145"/>
      <c r="AG535" s="145"/>
      <c r="AH535" s="145"/>
      <c r="AI535" s="145"/>
      <c r="AJ535" s="145"/>
      <c r="AK535" s="145"/>
      <c r="AL535" s="145"/>
      <c r="AM535" s="145"/>
      <c r="AN535" s="145"/>
      <c r="AO535" s="145"/>
      <c r="AP535" s="145"/>
      <c r="AQ535" s="145"/>
      <c r="AR535" s="145"/>
      <c r="AS535" s="145"/>
      <c r="AT535" s="146"/>
      <c r="AU535" s="146"/>
      <c r="AV535" s="145"/>
      <c r="AW535" s="145"/>
      <c r="AX535" s="145"/>
      <c r="AY535" s="145"/>
      <c r="AZ535" s="145"/>
      <c r="BA535" s="145"/>
      <c r="BB535" s="145"/>
      <c r="BC535" s="145"/>
      <c r="BD535" s="145"/>
    </row>
    <row r="536" spans="1:56" ht="18.75" customHeight="1" x14ac:dyDescent="0.55000000000000004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  <c r="AC536" s="145"/>
      <c r="AD536" s="145"/>
      <c r="AE536" s="145"/>
      <c r="AF536" s="145"/>
      <c r="AG536" s="145"/>
      <c r="AH536" s="145"/>
      <c r="AI536" s="145"/>
      <c r="AJ536" s="145"/>
      <c r="AK536" s="145"/>
      <c r="AL536" s="145"/>
      <c r="AM536" s="145"/>
      <c r="AN536" s="145"/>
      <c r="AO536" s="145"/>
      <c r="AP536" s="145"/>
      <c r="AQ536" s="145"/>
      <c r="AR536" s="145"/>
      <c r="AS536" s="145"/>
      <c r="AT536" s="146"/>
      <c r="AU536" s="146"/>
      <c r="AV536" s="145"/>
      <c r="AW536" s="145"/>
      <c r="AX536" s="145"/>
      <c r="AY536" s="145"/>
      <c r="AZ536" s="145"/>
      <c r="BA536" s="145"/>
      <c r="BB536" s="145"/>
      <c r="BC536" s="145"/>
      <c r="BD536" s="145"/>
    </row>
    <row r="537" spans="1:56" ht="18.75" customHeight="1" x14ac:dyDescent="0.55000000000000004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  <c r="AC537" s="145"/>
      <c r="AD537" s="145"/>
      <c r="AE537" s="145"/>
      <c r="AF537" s="145"/>
      <c r="AG537" s="145"/>
      <c r="AH537" s="145"/>
      <c r="AI537" s="145"/>
      <c r="AJ537" s="145"/>
      <c r="AK537" s="145"/>
      <c r="AL537" s="145"/>
      <c r="AM537" s="145"/>
      <c r="AN537" s="145"/>
      <c r="AO537" s="145"/>
      <c r="AP537" s="145"/>
      <c r="AQ537" s="145"/>
      <c r="AR537" s="145"/>
      <c r="AS537" s="145"/>
      <c r="AT537" s="146"/>
      <c r="AU537" s="146"/>
      <c r="AV537" s="145"/>
      <c r="AW537" s="145"/>
      <c r="AX537" s="145"/>
      <c r="AY537" s="145"/>
      <c r="AZ537" s="145"/>
      <c r="BA537" s="145"/>
      <c r="BB537" s="145"/>
      <c r="BC537" s="145"/>
      <c r="BD537" s="145"/>
    </row>
    <row r="538" spans="1:56" ht="18.75" customHeight="1" x14ac:dyDescent="0.55000000000000004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  <c r="AC538" s="145"/>
      <c r="AD538" s="145"/>
      <c r="AE538" s="145"/>
      <c r="AF538" s="145"/>
      <c r="AG538" s="145"/>
      <c r="AH538" s="145"/>
      <c r="AI538" s="145"/>
      <c r="AJ538" s="145"/>
      <c r="AK538" s="145"/>
      <c r="AL538" s="145"/>
      <c r="AM538" s="145"/>
      <c r="AN538" s="145"/>
      <c r="AO538" s="145"/>
      <c r="AP538" s="145"/>
      <c r="AQ538" s="145"/>
      <c r="AR538" s="145"/>
      <c r="AS538" s="145"/>
      <c r="AT538" s="146"/>
      <c r="AU538" s="146"/>
      <c r="AV538" s="145"/>
      <c r="AW538" s="145"/>
      <c r="AX538" s="145"/>
      <c r="AY538" s="145"/>
      <c r="AZ538" s="145"/>
      <c r="BA538" s="145"/>
      <c r="BB538" s="145"/>
      <c r="BC538" s="145"/>
      <c r="BD538" s="145"/>
    </row>
    <row r="539" spans="1:56" ht="18.75" customHeight="1" x14ac:dyDescent="0.55000000000000004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  <c r="AC539" s="145"/>
      <c r="AD539" s="145"/>
      <c r="AE539" s="145"/>
      <c r="AF539" s="145"/>
      <c r="AG539" s="145"/>
      <c r="AH539" s="145"/>
      <c r="AI539" s="145"/>
      <c r="AJ539" s="145"/>
      <c r="AK539" s="145"/>
      <c r="AL539" s="145"/>
      <c r="AM539" s="145"/>
      <c r="AN539" s="145"/>
      <c r="AO539" s="145"/>
      <c r="AP539" s="145"/>
      <c r="AQ539" s="145"/>
      <c r="AR539" s="145"/>
      <c r="AS539" s="145"/>
      <c r="AT539" s="146"/>
      <c r="AU539" s="146"/>
      <c r="AV539" s="145"/>
      <c r="AW539" s="145"/>
      <c r="AX539" s="145"/>
      <c r="AY539" s="145"/>
      <c r="AZ539" s="145"/>
      <c r="BA539" s="145"/>
      <c r="BB539" s="145"/>
      <c r="BC539" s="145"/>
      <c r="BD539" s="145"/>
    </row>
    <row r="540" spans="1:56" ht="18.75" customHeight="1" x14ac:dyDescent="0.55000000000000004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/>
      <c r="AE540" s="145"/>
      <c r="AF540" s="145"/>
      <c r="AG540" s="145"/>
      <c r="AH540" s="145"/>
      <c r="AI540" s="145"/>
      <c r="AJ540" s="145"/>
      <c r="AK540" s="145"/>
      <c r="AL540" s="145"/>
      <c r="AM540" s="145"/>
      <c r="AN540" s="145"/>
      <c r="AO540" s="145"/>
      <c r="AP540" s="145"/>
      <c r="AQ540" s="145"/>
      <c r="AR540" s="145"/>
      <c r="AS540" s="145"/>
      <c r="AT540" s="146"/>
      <c r="AU540" s="146"/>
      <c r="AV540" s="145"/>
      <c r="AW540" s="145"/>
      <c r="AX540" s="145"/>
      <c r="AY540" s="145"/>
      <c r="AZ540" s="145"/>
      <c r="BA540" s="145"/>
      <c r="BB540" s="145"/>
      <c r="BC540" s="145"/>
      <c r="BD540" s="145"/>
    </row>
    <row r="541" spans="1:56" ht="18.75" customHeight="1" x14ac:dyDescent="0.55000000000000004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  <c r="AC541" s="145"/>
      <c r="AD541" s="145"/>
      <c r="AE541" s="145"/>
      <c r="AF541" s="145"/>
      <c r="AG541" s="145"/>
      <c r="AH541" s="145"/>
      <c r="AI541" s="145"/>
      <c r="AJ541" s="145"/>
      <c r="AK541" s="145"/>
      <c r="AL541" s="145"/>
      <c r="AM541" s="145"/>
      <c r="AN541" s="145"/>
      <c r="AO541" s="145"/>
      <c r="AP541" s="145"/>
      <c r="AQ541" s="145"/>
      <c r="AR541" s="145"/>
      <c r="AS541" s="145"/>
      <c r="AT541" s="146"/>
      <c r="AU541" s="146"/>
      <c r="AV541" s="145"/>
      <c r="AW541" s="145"/>
      <c r="AX541" s="145"/>
      <c r="AY541" s="145"/>
      <c r="AZ541" s="145"/>
      <c r="BA541" s="145"/>
      <c r="BB541" s="145"/>
      <c r="BC541" s="145"/>
      <c r="BD541" s="145"/>
    </row>
    <row r="542" spans="1:56" ht="18.75" customHeight="1" x14ac:dyDescent="0.55000000000000004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  <c r="AC542" s="145"/>
      <c r="AD542" s="145"/>
      <c r="AE542" s="145"/>
      <c r="AF542" s="145"/>
      <c r="AG542" s="145"/>
      <c r="AH542" s="145"/>
      <c r="AI542" s="145"/>
      <c r="AJ542" s="145"/>
      <c r="AK542" s="145"/>
      <c r="AL542" s="145"/>
      <c r="AM542" s="145"/>
      <c r="AN542" s="145"/>
      <c r="AO542" s="145"/>
      <c r="AP542" s="145"/>
      <c r="AQ542" s="145"/>
      <c r="AR542" s="145"/>
      <c r="AS542" s="145"/>
      <c r="AT542" s="146"/>
      <c r="AU542" s="146"/>
      <c r="AV542" s="145"/>
      <c r="AW542" s="145"/>
      <c r="AX542" s="145"/>
      <c r="AY542" s="145"/>
      <c r="AZ542" s="145"/>
      <c r="BA542" s="145"/>
      <c r="BB542" s="145"/>
      <c r="BC542" s="145"/>
      <c r="BD542" s="145"/>
    </row>
    <row r="543" spans="1:56" ht="18.75" customHeight="1" x14ac:dyDescent="0.55000000000000004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  <c r="AC543" s="145"/>
      <c r="AD543" s="145"/>
      <c r="AE543" s="145"/>
      <c r="AF543" s="145"/>
      <c r="AG543" s="145"/>
      <c r="AH543" s="145"/>
      <c r="AI543" s="145"/>
      <c r="AJ543" s="145"/>
      <c r="AK543" s="145"/>
      <c r="AL543" s="145"/>
      <c r="AM543" s="145"/>
      <c r="AN543" s="145"/>
      <c r="AO543" s="145"/>
      <c r="AP543" s="145"/>
      <c r="AQ543" s="145"/>
      <c r="AR543" s="145"/>
      <c r="AS543" s="145"/>
      <c r="AT543" s="146"/>
      <c r="AU543" s="146"/>
      <c r="AV543" s="145"/>
      <c r="AW543" s="145"/>
      <c r="AX543" s="145"/>
      <c r="AY543" s="145"/>
      <c r="AZ543" s="145"/>
      <c r="BA543" s="145"/>
      <c r="BB543" s="145"/>
      <c r="BC543" s="145"/>
      <c r="BD543" s="145"/>
    </row>
    <row r="544" spans="1:56" ht="18.75" customHeight="1" x14ac:dyDescent="0.55000000000000004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  <c r="AC544" s="145"/>
      <c r="AD544" s="145"/>
      <c r="AE544" s="145"/>
      <c r="AF544" s="145"/>
      <c r="AG544" s="145"/>
      <c r="AH544" s="145"/>
      <c r="AI544" s="145"/>
      <c r="AJ544" s="145"/>
      <c r="AK544" s="145"/>
      <c r="AL544" s="145"/>
      <c r="AM544" s="145"/>
      <c r="AN544" s="145"/>
      <c r="AO544" s="145"/>
      <c r="AP544" s="145"/>
      <c r="AQ544" s="145"/>
      <c r="AR544" s="145"/>
      <c r="AS544" s="145"/>
      <c r="AT544" s="146"/>
      <c r="AU544" s="146"/>
      <c r="AV544" s="145"/>
      <c r="AW544" s="145"/>
      <c r="AX544" s="145"/>
      <c r="AY544" s="145"/>
      <c r="AZ544" s="145"/>
      <c r="BA544" s="145"/>
      <c r="BB544" s="145"/>
      <c r="BC544" s="145"/>
      <c r="BD544" s="145"/>
    </row>
    <row r="545" spans="1:56" ht="18.75" customHeight="1" x14ac:dyDescent="0.55000000000000004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  <c r="AC545" s="145"/>
      <c r="AD545" s="145"/>
      <c r="AE545" s="145"/>
      <c r="AF545" s="145"/>
      <c r="AG545" s="145"/>
      <c r="AH545" s="145"/>
      <c r="AI545" s="145"/>
      <c r="AJ545" s="145"/>
      <c r="AK545" s="145"/>
      <c r="AL545" s="145"/>
      <c r="AM545" s="145"/>
      <c r="AN545" s="145"/>
      <c r="AO545" s="145"/>
      <c r="AP545" s="145"/>
      <c r="AQ545" s="145"/>
      <c r="AR545" s="145"/>
      <c r="AS545" s="145"/>
      <c r="AT545" s="146"/>
      <c r="AU545" s="146"/>
      <c r="AV545" s="145"/>
      <c r="AW545" s="145"/>
      <c r="AX545" s="145"/>
      <c r="AY545" s="145"/>
      <c r="AZ545" s="145"/>
      <c r="BA545" s="145"/>
      <c r="BB545" s="145"/>
      <c r="BC545" s="145"/>
      <c r="BD545" s="145"/>
    </row>
    <row r="546" spans="1:56" ht="18.75" customHeight="1" x14ac:dyDescent="0.55000000000000004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  <c r="AC546" s="145"/>
      <c r="AD546" s="145"/>
      <c r="AE546" s="145"/>
      <c r="AF546" s="145"/>
      <c r="AG546" s="145"/>
      <c r="AH546" s="145"/>
      <c r="AI546" s="145"/>
      <c r="AJ546" s="145"/>
      <c r="AK546" s="145"/>
      <c r="AL546" s="145"/>
      <c r="AM546" s="145"/>
      <c r="AN546" s="145"/>
      <c r="AO546" s="145"/>
      <c r="AP546" s="145"/>
      <c r="AQ546" s="145"/>
      <c r="AR546" s="145"/>
      <c r="AS546" s="145"/>
      <c r="AT546" s="146"/>
      <c r="AU546" s="146"/>
      <c r="AV546" s="145"/>
      <c r="AW546" s="145"/>
      <c r="AX546" s="145"/>
      <c r="AY546" s="145"/>
      <c r="AZ546" s="145"/>
      <c r="BA546" s="145"/>
      <c r="BB546" s="145"/>
      <c r="BC546" s="145"/>
      <c r="BD546" s="145"/>
    </row>
    <row r="547" spans="1:56" ht="18.75" customHeight="1" x14ac:dyDescent="0.55000000000000004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  <c r="AC547" s="145"/>
      <c r="AD547" s="145"/>
      <c r="AE547" s="145"/>
      <c r="AF547" s="145"/>
      <c r="AG547" s="145"/>
      <c r="AH547" s="145"/>
      <c r="AI547" s="145"/>
      <c r="AJ547" s="145"/>
      <c r="AK547" s="145"/>
      <c r="AL547" s="145"/>
      <c r="AM547" s="145"/>
      <c r="AN547" s="145"/>
      <c r="AO547" s="145"/>
      <c r="AP547" s="145"/>
      <c r="AQ547" s="145"/>
      <c r="AR547" s="145"/>
      <c r="AS547" s="145"/>
      <c r="AT547" s="146"/>
      <c r="AU547" s="146"/>
      <c r="AV547" s="145"/>
      <c r="AW547" s="145"/>
      <c r="AX547" s="145"/>
      <c r="AY547" s="145"/>
      <c r="AZ547" s="145"/>
      <c r="BA547" s="145"/>
      <c r="BB547" s="145"/>
      <c r="BC547" s="145"/>
      <c r="BD547" s="145"/>
    </row>
    <row r="548" spans="1:56" ht="18.75" customHeight="1" x14ac:dyDescent="0.55000000000000004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  <c r="AC548" s="145"/>
      <c r="AD548" s="145"/>
      <c r="AE548" s="145"/>
      <c r="AF548" s="145"/>
      <c r="AG548" s="145"/>
      <c r="AH548" s="145"/>
      <c r="AI548" s="145"/>
      <c r="AJ548" s="145"/>
      <c r="AK548" s="145"/>
      <c r="AL548" s="145"/>
      <c r="AM548" s="145"/>
      <c r="AN548" s="145"/>
      <c r="AO548" s="145"/>
      <c r="AP548" s="145"/>
      <c r="AQ548" s="145"/>
      <c r="AR548" s="145"/>
      <c r="AS548" s="145"/>
      <c r="AT548" s="146"/>
      <c r="AU548" s="146"/>
      <c r="AV548" s="145"/>
      <c r="AW548" s="145"/>
      <c r="AX548" s="145"/>
      <c r="AY548" s="145"/>
      <c r="AZ548" s="145"/>
      <c r="BA548" s="145"/>
      <c r="BB548" s="145"/>
      <c r="BC548" s="145"/>
      <c r="BD548" s="145"/>
    </row>
    <row r="549" spans="1:56" ht="18.75" customHeight="1" x14ac:dyDescent="0.55000000000000004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  <c r="AC549" s="145"/>
      <c r="AD549" s="145"/>
      <c r="AE549" s="145"/>
      <c r="AF549" s="145"/>
      <c r="AG549" s="145"/>
      <c r="AH549" s="145"/>
      <c r="AI549" s="145"/>
      <c r="AJ549" s="145"/>
      <c r="AK549" s="145"/>
      <c r="AL549" s="145"/>
      <c r="AM549" s="145"/>
      <c r="AN549" s="145"/>
      <c r="AO549" s="145"/>
      <c r="AP549" s="145"/>
      <c r="AQ549" s="145"/>
      <c r="AR549" s="145"/>
      <c r="AS549" s="145"/>
      <c r="AT549" s="146"/>
      <c r="AU549" s="146"/>
      <c r="AV549" s="145"/>
      <c r="AW549" s="145"/>
      <c r="AX549" s="145"/>
      <c r="AY549" s="145"/>
      <c r="AZ549" s="145"/>
      <c r="BA549" s="145"/>
      <c r="BB549" s="145"/>
      <c r="BC549" s="145"/>
      <c r="BD549" s="145"/>
    </row>
    <row r="550" spans="1:56" ht="18.75" customHeight="1" x14ac:dyDescent="0.55000000000000004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  <c r="AC550" s="145"/>
      <c r="AD550" s="145"/>
      <c r="AE550" s="145"/>
      <c r="AF550" s="145"/>
      <c r="AG550" s="145"/>
      <c r="AH550" s="145"/>
      <c r="AI550" s="145"/>
      <c r="AJ550" s="145"/>
      <c r="AK550" s="145"/>
      <c r="AL550" s="145"/>
      <c r="AM550" s="145"/>
      <c r="AN550" s="145"/>
      <c r="AO550" s="145"/>
      <c r="AP550" s="145"/>
      <c r="AQ550" s="145"/>
      <c r="AR550" s="145"/>
      <c r="AS550" s="145"/>
      <c r="AT550" s="146"/>
      <c r="AU550" s="146"/>
      <c r="AV550" s="145"/>
      <c r="AW550" s="145"/>
      <c r="AX550" s="145"/>
      <c r="AY550" s="145"/>
      <c r="AZ550" s="145"/>
      <c r="BA550" s="145"/>
      <c r="BB550" s="145"/>
      <c r="BC550" s="145"/>
      <c r="BD550" s="145"/>
    </row>
    <row r="551" spans="1:56" ht="18.75" customHeight="1" x14ac:dyDescent="0.55000000000000004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  <c r="AC551" s="145"/>
      <c r="AD551" s="145"/>
      <c r="AE551" s="145"/>
      <c r="AF551" s="145"/>
      <c r="AG551" s="145"/>
      <c r="AH551" s="145"/>
      <c r="AI551" s="145"/>
      <c r="AJ551" s="145"/>
      <c r="AK551" s="145"/>
      <c r="AL551" s="145"/>
      <c r="AM551" s="145"/>
      <c r="AN551" s="145"/>
      <c r="AO551" s="145"/>
      <c r="AP551" s="145"/>
      <c r="AQ551" s="145"/>
      <c r="AR551" s="145"/>
      <c r="AS551" s="145"/>
      <c r="AT551" s="146"/>
      <c r="AU551" s="146"/>
      <c r="AV551" s="145"/>
      <c r="AW551" s="145"/>
      <c r="AX551" s="145"/>
      <c r="AY551" s="145"/>
      <c r="AZ551" s="145"/>
      <c r="BA551" s="145"/>
      <c r="BB551" s="145"/>
      <c r="BC551" s="145"/>
      <c r="BD551" s="145"/>
    </row>
    <row r="552" spans="1:56" ht="18.75" customHeight="1" x14ac:dyDescent="0.55000000000000004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  <c r="AC552" s="145"/>
      <c r="AD552" s="145"/>
      <c r="AE552" s="145"/>
      <c r="AF552" s="145"/>
      <c r="AG552" s="145"/>
      <c r="AH552" s="145"/>
      <c r="AI552" s="145"/>
      <c r="AJ552" s="145"/>
      <c r="AK552" s="145"/>
      <c r="AL552" s="145"/>
      <c r="AM552" s="145"/>
      <c r="AN552" s="145"/>
      <c r="AO552" s="145"/>
      <c r="AP552" s="145"/>
      <c r="AQ552" s="145"/>
      <c r="AR552" s="145"/>
      <c r="AS552" s="145"/>
      <c r="AT552" s="146"/>
      <c r="AU552" s="146"/>
      <c r="AV552" s="145"/>
      <c r="AW552" s="145"/>
      <c r="AX552" s="145"/>
      <c r="AY552" s="145"/>
      <c r="AZ552" s="145"/>
      <c r="BA552" s="145"/>
      <c r="BB552" s="145"/>
      <c r="BC552" s="145"/>
      <c r="BD552" s="145"/>
    </row>
    <row r="553" spans="1:56" ht="18.75" customHeight="1" x14ac:dyDescent="0.55000000000000004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  <c r="AC553" s="145"/>
      <c r="AD553" s="145"/>
      <c r="AE553" s="145"/>
      <c r="AF553" s="145"/>
      <c r="AG553" s="145"/>
      <c r="AH553" s="145"/>
      <c r="AI553" s="145"/>
      <c r="AJ553" s="145"/>
      <c r="AK553" s="145"/>
      <c r="AL553" s="145"/>
      <c r="AM553" s="145"/>
      <c r="AN553" s="145"/>
      <c r="AO553" s="145"/>
      <c r="AP553" s="145"/>
      <c r="AQ553" s="145"/>
      <c r="AR553" s="145"/>
      <c r="AS553" s="145"/>
      <c r="AT553" s="146"/>
      <c r="AU553" s="146"/>
      <c r="AV553" s="145"/>
      <c r="AW553" s="145"/>
      <c r="AX553" s="145"/>
      <c r="AY553" s="145"/>
      <c r="AZ553" s="145"/>
      <c r="BA553" s="145"/>
      <c r="BB553" s="145"/>
      <c r="BC553" s="145"/>
      <c r="BD553" s="145"/>
    </row>
    <row r="554" spans="1:56" ht="18.75" customHeight="1" x14ac:dyDescent="0.55000000000000004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  <c r="AC554" s="145"/>
      <c r="AD554" s="145"/>
      <c r="AE554" s="145"/>
      <c r="AF554" s="145"/>
      <c r="AG554" s="145"/>
      <c r="AH554" s="145"/>
      <c r="AI554" s="145"/>
      <c r="AJ554" s="145"/>
      <c r="AK554" s="145"/>
      <c r="AL554" s="145"/>
      <c r="AM554" s="145"/>
      <c r="AN554" s="145"/>
      <c r="AO554" s="145"/>
      <c r="AP554" s="145"/>
      <c r="AQ554" s="145"/>
      <c r="AR554" s="145"/>
      <c r="AS554" s="145"/>
      <c r="AT554" s="146"/>
      <c r="AU554" s="146"/>
      <c r="AV554" s="145"/>
      <c r="AW554" s="145"/>
      <c r="AX554" s="145"/>
      <c r="AY554" s="145"/>
      <c r="AZ554" s="145"/>
      <c r="BA554" s="145"/>
      <c r="BB554" s="145"/>
      <c r="BC554" s="145"/>
      <c r="BD554" s="145"/>
    </row>
    <row r="555" spans="1:56" ht="18.75" customHeight="1" x14ac:dyDescent="0.55000000000000004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  <c r="AC555" s="145"/>
      <c r="AD555" s="145"/>
      <c r="AE555" s="145"/>
      <c r="AF555" s="145"/>
      <c r="AG555" s="145"/>
      <c r="AH555" s="145"/>
      <c r="AI555" s="145"/>
      <c r="AJ555" s="145"/>
      <c r="AK555" s="145"/>
      <c r="AL555" s="145"/>
      <c r="AM555" s="145"/>
      <c r="AN555" s="145"/>
      <c r="AO555" s="145"/>
      <c r="AP555" s="145"/>
      <c r="AQ555" s="145"/>
      <c r="AR555" s="145"/>
      <c r="AS555" s="145"/>
      <c r="AT555" s="146"/>
      <c r="AU555" s="146"/>
      <c r="AV555" s="145"/>
      <c r="AW555" s="145"/>
      <c r="AX555" s="145"/>
      <c r="AY555" s="145"/>
      <c r="AZ555" s="145"/>
      <c r="BA555" s="145"/>
      <c r="BB555" s="145"/>
      <c r="BC555" s="145"/>
      <c r="BD555" s="145"/>
    </row>
    <row r="556" spans="1:56" ht="18.75" customHeight="1" x14ac:dyDescent="0.55000000000000004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  <c r="AC556" s="145"/>
      <c r="AD556" s="145"/>
      <c r="AE556" s="145"/>
      <c r="AF556" s="145"/>
      <c r="AG556" s="145"/>
      <c r="AH556" s="145"/>
      <c r="AI556" s="145"/>
      <c r="AJ556" s="145"/>
      <c r="AK556" s="145"/>
      <c r="AL556" s="145"/>
      <c r="AM556" s="145"/>
      <c r="AN556" s="145"/>
      <c r="AO556" s="145"/>
      <c r="AP556" s="145"/>
      <c r="AQ556" s="145"/>
      <c r="AR556" s="145"/>
      <c r="AS556" s="145"/>
      <c r="AT556" s="146"/>
      <c r="AU556" s="146"/>
      <c r="AV556" s="145"/>
      <c r="AW556" s="145"/>
      <c r="AX556" s="145"/>
      <c r="AY556" s="145"/>
      <c r="AZ556" s="145"/>
      <c r="BA556" s="145"/>
      <c r="BB556" s="145"/>
      <c r="BC556" s="145"/>
      <c r="BD556" s="145"/>
    </row>
    <row r="557" spans="1:56" ht="18.75" customHeight="1" x14ac:dyDescent="0.55000000000000004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  <c r="AC557" s="145"/>
      <c r="AD557" s="145"/>
      <c r="AE557" s="145"/>
      <c r="AF557" s="145"/>
      <c r="AG557" s="145"/>
      <c r="AH557" s="145"/>
      <c r="AI557" s="145"/>
      <c r="AJ557" s="145"/>
      <c r="AK557" s="145"/>
      <c r="AL557" s="145"/>
      <c r="AM557" s="145"/>
      <c r="AN557" s="145"/>
      <c r="AO557" s="145"/>
      <c r="AP557" s="145"/>
      <c r="AQ557" s="145"/>
      <c r="AR557" s="145"/>
      <c r="AS557" s="145"/>
      <c r="AT557" s="146"/>
      <c r="AU557" s="146"/>
      <c r="AV557" s="145"/>
      <c r="AW557" s="145"/>
      <c r="AX557" s="145"/>
      <c r="AY557" s="145"/>
      <c r="AZ557" s="145"/>
      <c r="BA557" s="145"/>
      <c r="BB557" s="145"/>
      <c r="BC557" s="145"/>
      <c r="BD557" s="145"/>
    </row>
    <row r="558" spans="1:56" ht="18.75" customHeight="1" x14ac:dyDescent="0.55000000000000004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  <c r="AC558" s="145"/>
      <c r="AD558" s="145"/>
      <c r="AE558" s="145"/>
      <c r="AF558" s="145"/>
      <c r="AG558" s="145"/>
      <c r="AH558" s="145"/>
      <c r="AI558" s="145"/>
      <c r="AJ558" s="145"/>
      <c r="AK558" s="145"/>
      <c r="AL558" s="145"/>
      <c r="AM558" s="145"/>
      <c r="AN558" s="145"/>
      <c r="AO558" s="145"/>
      <c r="AP558" s="145"/>
      <c r="AQ558" s="145"/>
      <c r="AR558" s="145"/>
      <c r="AS558" s="145"/>
      <c r="AT558" s="146"/>
      <c r="AU558" s="146"/>
      <c r="AV558" s="145"/>
      <c r="AW558" s="145"/>
      <c r="AX558" s="145"/>
      <c r="AY558" s="145"/>
      <c r="AZ558" s="145"/>
      <c r="BA558" s="145"/>
      <c r="BB558" s="145"/>
      <c r="BC558" s="145"/>
      <c r="BD558" s="145"/>
    </row>
    <row r="559" spans="1:56" ht="18.75" customHeight="1" x14ac:dyDescent="0.55000000000000004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  <c r="AC559" s="145"/>
      <c r="AD559" s="145"/>
      <c r="AE559" s="145"/>
      <c r="AF559" s="145"/>
      <c r="AG559" s="145"/>
      <c r="AH559" s="145"/>
      <c r="AI559" s="145"/>
      <c r="AJ559" s="145"/>
      <c r="AK559" s="145"/>
      <c r="AL559" s="145"/>
      <c r="AM559" s="145"/>
      <c r="AN559" s="145"/>
      <c r="AO559" s="145"/>
      <c r="AP559" s="145"/>
      <c r="AQ559" s="145"/>
      <c r="AR559" s="145"/>
      <c r="AS559" s="145"/>
      <c r="AT559" s="146"/>
      <c r="AU559" s="146"/>
      <c r="AV559" s="145"/>
      <c r="AW559" s="145"/>
      <c r="AX559" s="145"/>
      <c r="AY559" s="145"/>
      <c r="AZ559" s="145"/>
      <c r="BA559" s="145"/>
      <c r="BB559" s="145"/>
      <c r="BC559" s="145"/>
      <c r="BD559" s="145"/>
    </row>
    <row r="560" spans="1:56" ht="18.75" customHeight="1" x14ac:dyDescent="0.55000000000000004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  <c r="AC560" s="145"/>
      <c r="AD560" s="145"/>
      <c r="AE560" s="145"/>
      <c r="AF560" s="145"/>
      <c r="AG560" s="145"/>
      <c r="AH560" s="145"/>
      <c r="AI560" s="145"/>
      <c r="AJ560" s="145"/>
      <c r="AK560" s="145"/>
      <c r="AL560" s="145"/>
      <c r="AM560" s="145"/>
      <c r="AN560" s="145"/>
      <c r="AO560" s="145"/>
      <c r="AP560" s="145"/>
      <c r="AQ560" s="145"/>
      <c r="AR560" s="145"/>
      <c r="AS560" s="145"/>
      <c r="AT560" s="146"/>
      <c r="AU560" s="146"/>
      <c r="AV560" s="145"/>
      <c r="AW560" s="145"/>
      <c r="AX560" s="145"/>
      <c r="AY560" s="145"/>
      <c r="AZ560" s="145"/>
      <c r="BA560" s="145"/>
      <c r="BB560" s="145"/>
      <c r="BC560" s="145"/>
      <c r="BD560" s="145"/>
    </row>
    <row r="561" spans="1:56" ht="18.75" customHeight="1" x14ac:dyDescent="0.55000000000000004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  <c r="AC561" s="145"/>
      <c r="AD561" s="145"/>
      <c r="AE561" s="145"/>
      <c r="AF561" s="145"/>
      <c r="AG561" s="145"/>
      <c r="AH561" s="145"/>
      <c r="AI561" s="145"/>
      <c r="AJ561" s="145"/>
      <c r="AK561" s="145"/>
      <c r="AL561" s="145"/>
      <c r="AM561" s="145"/>
      <c r="AN561" s="145"/>
      <c r="AO561" s="145"/>
      <c r="AP561" s="145"/>
      <c r="AQ561" s="145"/>
      <c r="AR561" s="145"/>
      <c r="AS561" s="145"/>
      <c r="AT561" s="146"/>
      <c r="AU561" s="146"/>
      <c r="AV561" s="145"/>
      <c r="AW561" s="145"/>
      <c r="AX561" s="145"/>
      <c r="AY561" s="145"/>
      <c r="AZ561" s="145"/>
      <c r="BA561" s="145"/>
      <c r="BB561" s="145"/>
      <c r="BC561" s="145"/>
      <c r="BD561" s="145"/>
    </row>
    <row r="562" spans="1:56" ht="18.75" customHeight="1" x14ac:dyDescent="0.55000000000000004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  <c r="AC562" s="145"/>
      <c r="AD562" s="145"/>
      <c r="AE562" s="145"/>
      <c r="AF562" s="145"/>
      <c r="AG562" s="145"/>
      <c r="AH562" s="145"/>
      <c r="AI562" s="145"/>
      <c r="AJ562" s="145"/>
      <c r="AK562" s="145"/>
      <c r="AL562" s="145"/>
      <c r="AM562" s="145"/>
      <c r="AN562" s="145"/>
      <c r="AO562" s="145"/>
      <c r="AP562" s="145"/>
      <c r="AQ562" s="145"/>
      <c r="AR562" s="145"/>
      <c r="AS562" s="145"/>
      <c r="AT562" s="146"/>
      <c r="AU562" s="146"/>
      <c r="AV562" s="145"/>
      <c r="AW562" s="145"/>
      <c r="AX562" s="145"/>
      <c r="AY562" s="145"/>
      <c r="AZ562" s="145"/>
      <c r="BA562" s="145"/>
      <c r="BB562" s="145"/>
      <c r="BC562" s="145"/>
      <c r="BD562" s="145"/>
    </row>
    <row r="563" spans="1:56" ht="18.75" customHeight="1" x14ac:dyDescent="0.55000000000000004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  <c r="AC563" s="145"/>
      <c r="AD563" s="145"/>
      <c r="AE563" s="145"/>
      <c r="AF563" s="145"/>
      <c r="AG563" s="145"/>
      <c r="AH563" s="145"/>
      <c r="AI563" s="145"/>
      <c r="AJ563" s="145"/>
      <c r="AK563" s="145"/>
      <c r="AL563" s="145"/>
      <c r="AM563" s="145"/>
      <c r="AN563" s="145"/>
      <c r="AO563" s="145"/>
      <c r="AP563" s="145"/>
      <c r="AQ563" s="145"/>
      <c r="AR563" s="145"/>
      <c r="AS563" s="145"/>
      <c r="AT563" s="146"/>
      <c r="AU563" s="146"/>
      <c r="AV563" s="145"/>
      <c r="AW563" s="145"/>
      <c r="AX563" s="145"/>
      <c r="AY563" s="145"/>
      <c r="AZ563" s="145"/>
      <c r="BA563" s="145"/>
      <c r="BB563" s="145"/>
      <c r="BC563" s="145"/>
      <c r="BD563" s="145"/>
    </row>
    <row r="564" spans="1:56" ht="18.75" customHeight="1" x14ac:dyDescent="0.55000000000000004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  <c r="AC564" s="145"/>
      <c r="AD564" s="145"/>
      <c r="AE564" s="145"/>
      <c r="AF564" s="145"/>
      <c r="AG564" s="145"/>
      <c r="AH564" s="145"/>
      <c r="AI564" s="145"/>
      <c r="AJ564" s="145"/>
      <c r="AK564" s="145"/>
      <c r="AL564" s="145"/>
      <c r="AM564" s="145"/>
      <c r="AN564" s="145"/>
      <c r="AO564" s="145"/>
      <c r="AP564" s="145"/>
      <c r="AQ564" s="145"/>
      <c r="AR564" s="145"/>
      <c r="AS564" s="145"/>
      <c r="AT564" s="146"/>
      <c r="AU564" s="146"/>
      <c r="AV564" s="145"/>
      <c r="AW564" s="145"/>
      <c r="AX564" s="145"/>
      <c r="AY564" s="145"/>
      <c r="AZ564" s="145"/>
      <c r="BA564" s="145"/>
      <c r="BB564" s="145"/>
      <c r="BC564" s="145"/>
      <c r="BD564" s="145"/>
    </row>
    <row r="565" spans="1:56" ht="18.75" customHeight="1" x14ac:dyDescent="0.55000000000000004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  <c r="AC565" s="145"/>
      <c r="AD565" s="145"/>
      <c r="AE565" s="145"/>
      <c r="AF565" s="145"/>
      <c r="AG565" s="145"/>
      <c r="AH565" s="145"/>
      <c r="AI565" s="145"/>
      <c r="AJ565" s="145"/>
      <c r="AK565" s="145"/>
      <c r="AL565" s="145"/>
      <c r="AM565" s="145"/>
      <c r="AN565" s="145"/>
      <c r="AO565" s="145"/>
      <c r="AP565" s="145"/>
      <c r="AQ565" s="145"/>
      <c r="AR565" s="145"/>
      <c r="AS565" s="145"/>
      <c r="AT565" s="146"/>
      <c r="AU565" s="146"/>
      <c r="AV565" s="145"/>
      <c r="AW565" s="145"/>
      <c r="AX565" s="145"/>
      <c r="AY565" s="145"/>
      <c r="AZ565" s="145"/>
      <c r="BA565" s="145"/>
      <c r="BB565" s="145"/>
      <c r="BC565" s="145"/>
      <c r="BD565" s="145"/>
    </row>
    <row r="566" spans="1:56" ht="18.75" customHeight="1" x14ac:dyDescent="0.55000000000000004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  <c r="AC566" s="145"/>
      <c r="AD566" s="145"/>
      <c r="AE566" s="145"/>
      <c r="AF566" s="145"/>
      <c r="AG566" s="145"/>
      <c r="AH566" s="145"/>
      <c r="AI566" s="145"/>
      <c r="AJ566" s="145"/>
      <c r="AK566" s="145"/>
      <c r="AL566" s="145"/>
      <c r="AM566" s="145"/>
      <c r="AN566" s="145"/>
      <c r="AO566" s="145"/>
      <c r="AP566" s="145"/>
      <c r="AQ566" s="145"/>
      <c r="AR566" s="145"/>
      <c r="AS566" s="145"/>
      <c r="AT566" s="146"/>
      <c r="AU566" s="146"/>
      <c r="AV566" s="145"/>
      <c r="AW566" s="145"/>
      <c r="AX566" s="145"/>
      <c r="AY566" s="145"/>
      <c r="AZ566" s="145"/>
      <c r="BA566" s="145"/>
      <c r="BB566" s="145"/>
      <c r="BC566" s="145"/>
      <c r="BD566" s="145"/>
    </row>
    <row r="567" spans="1:56" ht="18.75" customHeight="1" x14ac:dyDescent="0.55000000000000004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  <c r="AC567" s="145"/>
      <c r="AD567" s="145"/>
      <c r="AE567" s="145"/>
      <c r="AF567" s="145"/>
      <c r="AG567" s="145"/>
      <c r="AH567" s="145"/>
      <c r="AI567" s="145"/>
      <c r="AJ567" s="145"/>
      <c r="AK567" s="145"/>
      <c r="AL567" s="145"/>
      <c r="AM567" s="145"/>
      <c r="AN567" s="145"/>
      <c r="AO567" s="145"/>
      <c r="AP567" s="145"/>
      <c r="AQ567" s="145"/>
      <c r="AR567" s="145"/>
      <c r="AS567" s="145"/>
      <c r="AT567" s="146"/>
      <c r="AU567" s="146"/>
      <c r="AV567" s="145"/>
      <c r="AW567" s="145"/>
      <c r="AX567" s="145"/>
      <c r="AY567" s="145"/>
      <c r="AZ567" s="145"/>
      <c r="BA567" s="145"/>
      <c r="BB567" s="145"/>
      <c r="BC567" s="145"/>
      <c r="BD567" s="145"/>
    </row>
    <row r="568" spans="1:56" ht="18.75" customHeight="1" x14ac:dyDescent="0.55000000000000004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  <c r="AC568" s="145"/>
      <c r="AD568" s="145"/>
      <c r="AE568" s="145"/>
      <c r="AF568" s="145"/>
      <c r="AG568" s="145"/>
      <c r="AH568" s="145"/>
      <c r="AI568" s="145"/>
      <c r="AJ568" s="145"/>
      <c r="AK568" s="145"/>
      <c r="AL568" s="145"/>
      <c r="AM568" s="145"/>
      <c r="AN568" s="145"/>
      <c r="AO568" s="145"/>
      <c r="AP568" s="145"/>
      <c r="AQ568" s="145"/>
      <c r="AR568" s="145"/>
      <c r="AS568" s="145"/>
      <c r="AT568" s="146"/>
      <c r="AU568" s="146"/>
      <c r="AV568" s="145"/>
      <c r="AW568" s="145"/>
      <c r="AX568" s="145"/>
      <c r="AY568" s="145"/>
      <c r="AZ568" s="145"/>
      <c r="BA568" s="145"/>
      <c r="BB568" s="145"/>
      <c r="BC568" s="145"/>
      <c r="BD568" s="145"/>
    </row>
    <row r="569" spans="1:56" ht="18.75" customHeight="1" x14ac:dyDescent="0.55000000000000004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  <c r="AC569" s="145"/>
      <c r="AD569" s="145"/>
      <c r="AE569" s="145"/>
      <c r="AF569" s="145"/>
      <c r="AG569" s="145"/>
      <c r="AH569" s="145"/>
      <c r="AI569" s="145"/>
      <c r="AJ569" s="145"/>
      <c r="AK569" s="145"/>
      <c r="AL569" s="145"/>
      <c r="AM569" s="145"/>
      <c r="AN569" s="145"/>
      <c r="AO569" s="145"/>
      <c r="AP569" s="145"/>
      <c r="AQ569" s="145"/>
      <c r="AR569" s="145"/>
      <c r="AS569" s="145"/>
      <c r="AT569" s="146"/>
      <c r="AU569" s="146"/>
      <c r="AV569" s="145"/>
      <c r="AW569" s="145"/>
      <c r="AX569" s="145"/>
      <c r="AY569" s="145"/>
      <c r="AZ569" s="145"/>
      <c r="BA569" s="145"/>
      <c r="BB569" s="145"/>
      <c r="BC569" s="145"/>
      <c r="BD569" s="145"/>
    </row>
    <row r="570" spans="1:56" ht="18.75" customHeight="1" x14ac:dyDescent="0.55000000000000004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  <c r="AC570" s="145"/>
      <c r="AD570" s="145"/>
      <c r="AE570" s="145"/>
      <c r="AF570" s="145"/>
      <c r="AG570" s="145"/>
      <c r="AH570" s="145"/>
      <c r="AI570" s="145"/>
      <c r="AJ570" s="145"/>
      <c r="AK570" s="145"/>
      <c r="AL570" s="145"/>
      <c r="AM570" s="145"/>
      <c r="AN570" s="145"/>
      <c r="AO570" s="145"/>
      <c r="AP570" s="145"/>
      <c r="AQ570" s="145"/>
      <c r="AR570" s="145"/>
      <c r="AS570" s="145"/>
      <c r="AT570" s="146"/>
      <c r="AU570" s="146"/>
      <c r="AV570" s="145"/>
      <c r="AW570" s="145"/>
      <c r="AX570" s="145"/>
      <c r="AY570" s="145"/>
      <c r="AZ570" s="145"/>
      <c r="BA570" s="145"/>
      <c r="BB570" s="145"/>
      <c r="BC570" s="145"/>
      <c r="BD570" s="145"/>
    </row>
    <row r="571" spans="1:56" ht="18.75" customHeight="1" x14ac:dyDescent="0.55000000000000004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  <c r="AC571" s="145"/>
      <c r="AD571" s="145"/>
      <c r="AE571" s="145"/>
      <c r="AF571" s="145"/>
      <c r="AG571" s="145"/>
      <c r="AH571" s="145"/>
      <c r="AI571" s="145"/>
      <c r="AJ571" s="145"/>
      <c r="AK571" s="145"/>
      <c r="AL571" s="145"/>
      <c r="AM571" s="145"/>
      <c r="AN571" s="145"/>
      <c r="AO571" s="145"/>
      <c r="AP571" s="145"/>
      <c r="AQ571" s="145"/>
      <c r="AR571" s="145"/>
      <c r="AS571" s="145"/>
      <c r="AT571" s="146"/>
      <c r="AU571" s="146"/>
      <c r="AV571" s="145"/>
      <c r="AW571" s="145"/>
      <c r="AX571" s="145"/>
      <c r="AY571" s="145"/>
      <c r="AZ571" s="145"/>
      <c r="BA571" s="145"/>
      <c r="BB571" s="145"/>
      <c r="BC571" s="145"/>
      <c r="BD571" s="145"/>
    </row>
    <row r="572" spans="1:56" ht="18.75" customHeight="1" x14ac:dyDescent="0.55000000000000004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  <c r="AC572" s="145"/>
      <c r="AD572" s="145"/>
      <c r="AE572" s="145"/>
      <c r="AF572" s="145"/>
      <c r="AG572" s="145"/>
      <c r="AH572" s="145"/>
      <c r="AI572" s="145"/>
      <c r="AJ572" s="145"/>
      <c r="AK572" s="145"/>
      <c r="AL572" s="145"/>
      <c r="AM572" s="145"/>
      <c r="AN572" s="145"/>
      <c r="AO572" s="145"/>
      <c r="AP572" s="145"/>
      <c r="AQ572" s="145"/>
      <c r="AR572" s="145"/>
      <c r="AS572" s="145"/>
      <c r="AT572" s="146"/>
      <c r="AU572" s="146"/>
      <c r="AV572" s="145"/>
      <c r="AW572" s="145"/>
      <c r="AX572" s="145"/>
      <c r="AY572" s="145"/>
      <c r="AZ572" s="145"/>
      <c r="BA572" s="145"/>
      <c r="BB572" s="145"/>
      <c r="BC572" s="145"/>
      <c r="BD572" s="145"/>
    </row>
    <row r="573" spans="1:56" ht="18.75" customHeight="1" x14ac:dyDescent="0.55000000000000004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  <c r="AC573" s="145"/>
      <c r="AD573" s="145"/>
      <c r="AE573" s="145"/>
      <c r="AF573" s="145"/>
      <c r="AG573" s="145"/>
      <c r="AH573" s="145"/>
      <c r="AI573" s="145"/>
      <c r="AJ573" s="145"/>
      <c r="AK573" s="145"/>
      <c r="AL573" s="145"/>
      <c r="AM573" s="145"/>
      <c r="AN573" s="145"/>
      <c r="AO573" s="145"/>
      <c r="AP573" s="145"/>
      <c r="AQ573" s="145"/>
      <c r="AR573" s="145"/>
      <c r="AS573" s="145"/>
      <c r="AT573" s="146"/>
      <c r="AU573" s="146"/>
      <c r="AV573" s="145"/>
      <c r="AW573" s="145"/>
      <c r="AX573" s="145"/>
      <c r="AY573" s="145"/>
      <c r="AZ573" s="145"/>
      <c r="BA573" s="145"/>
      <c r="BB573" s="145"/>
      <c r="BC573" s="145"/>
      <c r="BD573" s="145"/>
    </row>
    <row r="574" spans="1:56" ht="18.75" customHeight="1" x14ac:dyDescent="0.55000000000000004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  <c r="AC574" s="145"/>
      <c r="AD574" s="145"/>
      <c r="AE574" s="145"/>
      <c r="AF574" s="145"/>
      <c r="AG574" s="145"/>
      <c r="AH574" s="145"/>
      <c r="AI574" s="145"/>
      <c r="AJ574" s="145"/>
      <c r="AK574" s="145"/>
      <c r="AL574" s="145"/>
      <c r="AM574" s="145"/>
      <c r="AN574" s="145"/>
      <c r="AO574" s="145"/>
      <c r="AP574" s="145"/>
      <c r="AQ574" s="145"/>
      <c r="AR574" s="145"/>
      <c r="AS574" s="145"/>
      <c r="AT574" s="146"/>
      <c r="AU574" s="146"/>
      <c r="AV574" s="145"/>
      <c r="AW574" s="145"/>
      <c r="AX574" s="145"/>
      <c r="AY574" s="145"/>
      <c r="AZ574" s="145"/>
      <c r="BA574" s="145"/>
      <c r="BB574" s="145"/>
      <c r="BC574" s="145"/>
      <c r="BD574" s="145"/>
    </row>
    <row r="575" spans="1:56" ht="18.75" customHeight="1" x14ac:dyDescent="0.55000000000000004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  <c r="AC575" s="145"/>
      <c r="AD575" s="145"/>
      <c r="AE575" s="145"/>
      <c r="AF575" s="145"/>
      <c r="AG575" s="145"/>
      <c r="AH575" s="145"/>
      <c r="AI575" s="145"/>
      <c r="AJ575" s="145"/>
      <c r="AK575" s="145"/>
      <c r="AL575" s="145"/>
      <c r="AM575" s="145"/>
      <c r="AN575" s="145"/>
      <c r="AO575" s="145"/>
      <c r="AP575" s="145"/>
      <c r="AQ575" s="145"/>
      <c r="AR575" s="145"/>
      <c r="AS575" s="145"/>
      <c r="AT575" s="146"/>
      <c r="AU575" s="146"/>
      <c r="AV575" s="145"/>
      <c r="AW575" s="145"/>
      <c r="AX575" s="145"/>
      <c r="AY575" s="145"/>
      <c r="AZ575" s="145"/>
      <c r="BA575" s="145"/>
      <c r="BB575" s="145"/>
      <c r="BC575" s="145"/>
      <c r="BD575" s="145"/>
    </row>
    <row r="576" spans="1:56" ht="18.75" customHeight="1" x14ac:dyDescent="0.55000000000000004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  <c r="AC576" s="145"/>
      <c r="AD576" s="145"/>
      <c r="AE576" s="145"/>
      <c r="AF576" s="145"/>
      <c r="AG576" s="145"/>
      <c r="AH576" s="145"/>
      <c r="AI576" s="145"/>
      <c r="AJ576" s="145"/>
      <c r="AK576" s="145"/>
      <c r="AL576" s="145"/>
      <c r="AM576" s="145"/>
      <c r="AN576" s="145"/>
      <c r="AO576" s="145"/>
      <c r="AP576" s="145"/>
      <c r="AQ576" s="145"/>
      <c r="AR576" s="145"/>
      <c r="AS576" s="145"/>
      <c r="AT576" s="146"/>
      <c r="AU576" s="146"/>
      <c r="AV576" s="145"/>
      <c r="AW576" s="145"/>
      <c r="AX576" s="145"/>
      <c r="AY576" s="145"/>
      <c r="AZ576" s="145"/>
      <c r="BA576" s="145"/>
      <c r="BB576" s="145"/>
      <c r="BC576" s="145"/>
      <c r="BD576" s="145"/>
    </row>
    <row r="577" spans="1:56" ht="18.75" customHeight="1" x14ac:dyDescent="0.55000000000000004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  <c r="AC577" s="145"/>
      <c r="AD577" s="145"/>
      <c r="AE577" s="145"/>
      <c r="AF577" s="145"/>
      <c r="AG577" s="145"/>
      <c r="AH577" s="145"/>
      <c r="AI577" s="145"/>
      <c r="AJ577" s="145"/>
      <c r="AK577" s="145"/>
      <c r="AL577" s="145"/>
      <c r="AM577" s="145"/>
      <c r="AN577" s="145"/>
      <c r="AO577" s="145"/>
      <c r="AP577" s="145"/>
      <c r="AQ577" s="145"/>
      <c r="AR577" s="145"/>
      <c r="AS577" s="145"/>
      <c r="AT577" s="146"/>
      <c r="AU577" s="146"/>
      <c r="AV577" s="145"/>
      <c r="AW577" s="145"/>
      <c r="AX577" s="145"/>
      <c r="AY577" s="145"/>
      <c r="AZ577" s="145"/>
      <c r="BA577" s="145"/>
      <c r="BB577" s="145"/>
      <c r="BC577" s="145"/>
      <c r="BD577" s="145"/>
    </row>
    <row r="578" spans="1:56" ht="18.75" customHeight="1" x14ac:dyDescent="0.55000000000000004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  <c r="AC578" s="145"/>
      <c r="AD578" s="145"/>
      <c r="AE578" s="145"/>
      <c r="AF578" s="145"/>
      <c r="AG578" s="145"/>
      <c r="AH578" s="145"/>
      <c r="AI578" s="145"/>
      <c r="AJ578" s="145"/>
      <c r="AK578" s="145"/>
      <c r="AL578" s="145"/>
      <c r="AM578" s="145"/>
      <c r="AN578" s="145"/>
      <c r="AO578" s="145"/>
      <c r="AP578" s="145"/>
      <c r="AQ578" s="145"/>
      <c r="AR578" s="145"/>
      <c r="AS578" s="145"/>
      <c r="AT578" s="146"/>
      <c r="AU578" s="146"/>
      <c r="AV578" s="145"/>
      <c r="AW578" s="145"/>
      <c r="AX578" s="145"/>
      <c r="AY578" s="145"/>
      <c r="AZ578" s="145"/>
      <c r="BA578" s="145"/>
      <c r="BB578" s="145"/>
      <c r="BC578" s="145"/>
      <c r="BD578" s="145"/>
    </row>
    <row r="579" spans="1:56" ht="18.75" customHeight="1" x14ac:dyDescent="0.55000000000000004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  <c r="AC579" s="145"/>
      <c r="AD579" s="145"/>
      <c r="AE579" s="145"/>
      <c r="AF579" s="145"/>
      <c r="AG579" s="145"/>
      <c r="AH579" s="145"/>
      <c r="AI579" s="145"/>
      <c r="AJ579" s="145"/>
      <c r="AK579" s="145"/>
      <c r="AL579" s="145"/>
      <c r="AM579" s="145"/>
      <c r="AN579" s="145"/>
      <c r="AO579" s="145"/>
      <c r="AP579" s="145"/>
      <c r="AQ579" s="145"/>
      <c r="AR579" s="145"/>
      <c r="AS579" s="145"/>
      <c r="AT579" s="146"/>
      <c r="AU579" s="146"/>
      <c r="AV579" s="145"/>
      <c r="AW579" s="145"/>
      <c r="AX579" s="145"/>
      <c r="AY579" s="145"/>
      <c r="AZ579" s="145"/>
      <c r="BA579" s="145"/>
      <c r="BB579" s="145"/>
      <c r="BC579" s="145"/>
      <c r="BD579" s="145"/>
    </row>
    <row r="580" spans="1:56" ht="18.75" customHeight="1" x14ac:dyDescent="0.55000000000000004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  <c r="AC580" s="145"/>
      <c r="AD580" s="145"/>
      <c r="AE580" s="145"/>
      <c r="AF580" s="145"/>
      <c r="AG580" s="145"/>
      <c r="AH580" s="145"/>
      <c r="AI580" s="145"/>
      <c r="AJ580" s="145"/>
      <c r="AK580" s="145"/>
      <c r="AL580" s="145"/>
      <c r="AM580" s="145"/>
      <c r="AN580" s="145"/>
      <c r="AO580" s="145"/>
      <c r="AP580" s="145"/>
      <c r="AQ580" s="145"/>
      <c r="AR580" s="145"/>
      <c r="AS580" s="145"/>
      <c r="AT580" s="146"/>
      <c r="AU580" s="146"/>
      <c r="AV580" s="145"/>
      <c r="AW580" s="145"/>
      <c r="AX580" s="145"/>
      <c r="AY580" s="145"/>
      <c r="AZ580" s="145"/>
      <c r="BA580" s="145"/>
      <c r="BB580" s="145"/>
      <c r="BC580" s="145"/>
      <c r="BD580" s="145"/>
    </row>
    <row r="581" spans="1:56" ht="18.75" customHeight="1" x14ac:dyDescent="0.55000000000000004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  <c r="AC581" s="145"/>
      <c r="AD581" s="145"/>
      <c r="AE581" s="145"/>
      <c r="AF581" s="145"/>
      <c r="AG581" s="145"/>
      <c r="AH581" s="145"/>
      <c r="AI581" s="145"/>
      <c r="AJ581" s="145"/>
      <c r="AK581" s="145"/>
      <c r="AL581" s="145"/>
      <c r="AM581" s="145"/>
      <c r="AN581" s="145"/>
      <c r="AO581" s="145"/>
      <c r="AP581" s="145"/>
      <c r="AQ581" s="145"/>
      <c r="AR581" s="145"/>
      <c r="AS581" s="145"/>
      <c r="AT581" s="146"/>
      <c r="AU581" s="146"/>
      <c r="AV581" s="145"/>
      <c r="AW581" s="145"/>
      <c r="AX581" s="145"/>
      <c r="AY581" s="145"/>
      <c r="AZ581" s="145"/>
      <c r="BA581" s="145"/>
      <c r="BB581" s="145"/>
      <c r="BC581" s="145"/>
      <c r="BD581" s="145"/>
    </row>
    <row r="582" spans="1:56" ht="18.75" customHeight="1" x14ac:dyDescent="0.55000000000000004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  <c r="AC582" s="145"/>
      <c r="AD582" s="145"/>
      <c r="AE582" s="145"/>
      <c r="AF582" s="145"/>
      <c r="AG582" s="145"/>
      <c r="AH582" s="145"/>
      <c r="AI582" s="145"/>
      <c r="AJ582" s="145"/>
      <c r="AK582" s="145"/>
      <c r="AL582" s="145"/>
      <c r="AM582" s="145"/>
      <c r="AN582" s="145"/>
      <c r="AO582" s="145"/>
      <c r="AP582" s="145"/>
      <c r="AQ582" s="145"/>
      <c r="AR582" s="145"/>
      <c r="AS582" s="145"/>
      <c r="AT582" s="146"/>
      <c r="AU582" s="146"/>
      <c r="AV582" s="145"/>
      <c r="AW582" s="145"/>
      <c r="AX582" s="145"/>
      <c r="AY582" s="145"/>
      <c r="AZ582" s="145"/>
      <c r="BA582" s="145"/>
      <c r="BB582" s="145"/>
      <c r="BC582" s="145"/>
      <c r="BD582" s="145"/>
    </row>
    <row r="583" spans="1:56" ht="18.75" customHeight="1" x14ac:dyDescent="0.55000000000000004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  <c r="AC583" s="145"/>
      <c r="AD583" s="145"/>
      <c r="AE583" s="145"/>
      <c r="AF583" s="145"/>
      <c r="AG583" s="145"/>
      <c r="AH583" s="145"/>
      <c r="AI583" s="145"/>
      <c r="AJ583" s="145"/>
      <c r="AK583" s="145"/>
      <c r="AL583" s="145"/>
      <c r="AM583" s="145"/>
      <c r="AN583" s="145"/>
      <c r="AO583" s="145"/>
      <c r="AP583" s="145"/>
      <c r="AQ583" s="145"/>
      <c r="AR583" s="145"/>
      <c r="AS583" s="145"/>
      <c r="AT583" s="146"/>
      <c r="AU583" s="146"/>
      <c r="AV583" s="145"/>
      <c r="AW583" s="145"/>
      <c r="AX583" s="145"/>
      <c r="AY583" s="145"/>
      <c r="AZ583" s="145"/>
      <c r="BA583" s="145"/>
      <c r="BB583" s="145"/>
      <c r="BC583" s="145"/>
      <c r="BD583" s="145"/>
    </row>
    <row r="584" spans="1:56" ht="18.75" customHeight="1" x14ac:dyDescent="0.55000000000000004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  <c r="AC584" s="145"/>
      <c r="AD584" s="145"/>
      <c r="AE584" s="145"/>
      <c r="AF584" s="145"/>
      <c r="AG584" s="145"/>
      <c r="AH584" s="145"/>
      <c r="AI584" s="145"/>
      <c r="AJ584" s="145"/>
      <c r="AK584" s="145"/>
      <c r="AL584" s="145"/>
      <c r="AM584" s="145"/>
      <c r="AN584" s="145"/>
      <c r="AO584" s="145"/>
      <c r="AP584" s="145"/>
      <c r="AQ584" s="145"/>
      <c r="AR584" s="145"/>
      <c r="AS584" s="145"/>
      <c r="AT584" s="146"/>
      <c r="AU584" s="146"/>
      <c r="AV584" s="145"/>
      <c r="AW584" s="145"/>
      <c r="AX584" s="145"/>
      <c r="AY584" s="145"/>
      <c r="AZ584" s="145"/>
      <c r="BA584" s="145"/>
      <c r="BB584" s="145"/>
      <c r="BC584" s="145"/>
      <c r="BD584" s="145"/>
    </row>
    <row r="585" spans="1:56" ht="18.75" customHeight="1" x14ac:dyDescent="0.55000000000000004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  <c r="AC585" s="145"/>
      <c r="AD585" s="145"/>
      <c r="AE585" s="145"/>
      <c r="AF585" s="145"/>
      <c r="AG585" s="145"/>
      <c r="AH585" s="145"/>
      <c r="AI585" s="145"/>
      <c r="AJ585" s="145"/>
      <c r="AK585" s="145"/>
      <c r="AL585" s="145"/>
      <c r="AM585" s="145"/>
      <c r="AN585" s="145"/>
      <c r="AO585" s="145"/>
      <c r="AP585" s="145"/>
      <c r="AQ585" s="145"/>
      <c r="AR585" s="145"/>
      <c r="AS585" s="145"/>
      <c r="AT585" s="146"/>
      <c r="AU585" s="146"/>
      <c r="AV585" s="145"/>
      <c r="AW585" s="145"/>
      <c r="AX585" s="145"/>
      <c r="AY585" s="145"/>
      <c r="AZ585" s="145"/>
      <c r="BA585" s="145"/>
      <c r="BB585" s="145"/>
      <c r="BC585" s="145"/>
      <c r="BD585" s="145"/>
    </row>
    <row r="586" spans="1:56" ht="18.75" customHeight="1" x14ac:dyDescent="0.55000000000000004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  <c r="AC586" s="145"/>
      <c r="AD586" s="145"/>
      <c r="AE586" s="145"/>
      <c r="AF586" s="145"/>
      <c r="AG586" s="145"/>
      <c r="AH586" s="145"/>
      <c r="AI586" s="145"/>
      <c r="AJ586" s="145"/>
      <c r="AK586" s="145"/>
      <c r="AL586" s="145"/>
      <c r="AM586" s="145"/>
      <c r="AN586" s="145"/>
      <c r="AO586" s="145"/>
      <c r="AP586" s="145"/>
      <c r="AQ586" s="145"/>
      <c r="AR586" s="145"/>
      <c r="AS586" s="145"/>
      <c r="AT586" s="146"/>
      <c r="AU586" s="146"/>
      <c r="AV586" s="145"/>
      <c r="AW586" s="145"/>
      <c r="AX586" s="145"/>
      <c r="AY586" s="145"/>
      <c r="AZ586" s="145"/>
      <c r="BA586" s="145"/>
      <c r="BB586" s="145"/>
      <c r="BC586" s="145"/>
      <c r="BD586" s="145"/>
    </row>
    <row r="587" spans="1:56" ht="18.75" customHeight="1" x14ac:dyDescent="0.55000000000000004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  <c r="AC587" s="145"/>
      <c r="AD587" s="145"/>
      <c r="AE587" s="145"/>
      <c r="AF587" s="145"/>
      <c r="AG587" s="145"/>
      <c r="AH587" s="145"/>
      <c r="AI587" s="145"/>
      <c r="AJ587" s="145"/>
      <c r="AK587" s="145"/>
      <c r="AL587" s="145"/>
      <c r="AM587" s="145"/>
      <c r="AN587" s="145"/>
      <c r="AO587" s="145"/>
      <c r="AP587" s="145"/>
      <c r="AQ587" s="145"/>
      <c r="AR587" s="145"/>
      <c r="AS587" s="145"/>
      <c r="AT587" s="146"/>
      <c r="AU587" s="146"/>
      <c r="AV587" s="145"/>
      <c r="AW587" s="145"/>
      <c r="AX587" s="145"/>
      <c r="AY587" s="145"/>
      <c r="AZ587" s="145"/>
      <c r="BA587" s="145"/>
      <c r="BB587" s="145"/>
      <c r="BC587" s="145"/>
      <c r="BD587" s="145"/>
    </row>
    <row r="588" spans="1:56" ht="18.75" customHeight="1" x14ac:dyDescent="0.55000000000000004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  <c r="AC588" s="145"/>
      <c r="AD588" s="145"/>
      <c r="AE588" s="145"/>
      <c r="AF588" s="145"/>
      <c r="AG588" s="145"/>
      <c r="AH588" s="145"/>
      <c r="AI588" s="145"/>
      <c r="AJ588" s="145"/>
      <c r="AK588" s="145"/>
      <c r="AL588" s="145"/>
      <c r="AM588" s="145"/>
      <c r="AN588" s="145"/>
      <c r="AO588" s="145"/>
      <c r="AP588" s="145"/>
      <c r="AQ588" s="145"/>
      <c r="AR588" s="145"/>
      <c r="AS588" s="145"/>
      <c r="AT588" s="146"/>
      <c r="AU588" s="146"/>
      <c r="AV588" s="145"/>
      <c r="AW588" s="145"/>
      <c r="AX588" s="145"/>
      <c r="AY588" s="145"/>
      <c r="AZ588" s="145"/>
      <c r="BA588" s="145"/>
      <c r="BB588" s="145"/>
      <c r="BC588" s="145"/>
      <c r="BD588" s="145"/>
    </row>
    <row r="589" spans="1:56" ht="18.75" customHeight="1" x14ac:dyDescent="0.55000000000000004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  <c r="AC589" s="145"/>
      <c r="AD589" s="145"/>
      <c r="AE589" s="145"/>
      <c r="AF589" s="145"/>
      <c r="AG589" s="145"/>
      <c r="AH589" s="145"/>
      <c r="AI589" s="145"/>
      <c r="AJ589" s="145"/>
      <c r="AK589" s="145"/>
      <c r="AL589" s="145"/>
      <c r="AM589" s="145"/>
      <c r="AN589" s="145"/>
      <c r="AO589" s="145"/>
      <c r="AP589" s="145"/>
      <c r="AQ589" s="145"/>
      <c r="AR589" s="145"/>
      <c r="AS589" s="145"/>
      <c r="AT589" s="146"/>
      <c r="AU589" s="146"/>
      <c r="AV589" s="145"/>
      <c r="AW589" s="145"/>
      <c r="AX589" s="145"/>
      <c r="AY589" s="145"/>
      <c r="AZ589" s="145"/>
      <c r="BA589" s="145"/>
      <c r="BB589" s="145"/>
      <c r="BC589" s="145"/>
      <c r="BD589" s="145"/>
    </row>
    <row r="590" spans="1:56" ht="18.75" customHeight="1" x14ac:dyDescent="0.55000000000000004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  <c r="AC590" s="145"/>
      <c r="AD590" s="145"/>
      <c r="AE590" s="145"/>
      <c r="AF590" s="145"/>
      <c r="AG590" s="145"/>
      <c r="AH590" s="145"/>
      <c r="AI590" s="145"/>
      <c r="AJ590" s="145"/>
      <c r="AK590" s="145"/>
      <c r="AL590" s="145"/>
      <c r="AM590" s="145"/>
      <c r="AN590" s="145"/>
      <c r="AO590" s="145"/>
      <c r="AP590" s="145"/>
      <c r="AQ590" s="145"/>
      <c r="AR590" s="145"/>
      <c r="AS590" s="145"/>
      <c r="AT590" s="146"/>
      <c r="AU590" s="146"/>
      <c r="AV590" s="145"/>
      <c r="AW590" s="145"/>
      <c r="AX590" s="145"/>
      <c r="AY590" s="145"/>
      <c r="AZ590" s="145"/>
      <c r="BA590" s="145"/>
      <c r="BB590" s="145"/>
      <c r="BC590" s="145"/>
      <c r="BD590" s="145"/>
    </row>
    <row r="591" spans="1:56" ht="18.75" customHeight="1" x14ac:dyDescent="0.55000000000000004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  <c r="AC591" s="145"/>
      <c r="AD591" s="145"/>
      <c r="AE591" s="145"/>
      <c r="AF591" s="145"/>
      <c r="AG591" s="145"/>
      <c r="AH591" s="145"/>
      <c r="AI591" s="145"/>
      <c r="AJ591" s="145"/>
      <c r="AK591" s="145"/>
      <c r="AL591" s="145"/>
      <c r="AM591" s="145"/>
      <c r="AN591" s="145"/>
      <c r="AO591" s="145"/>
      <c r="AP591" s="145"/>
      <c r="AQ591" s="145"/>
      <c r="AR591" s="145"/>
      <c r="AS591" s="145"/>
      <c r="AT591" s="146"/>
      <c r="AU591" s="146"/>
      <c r="AV591" s="145"/>
      <c r="AW591" s="145"/>
      <c r="AX591" s="145"/>
      <c r="AY591" s="145"/>
      <c r="AZ591" s="145"/>
      <c r="BA591" s="145"/>
      <c r="BB591" s="145"/>
      <c r="BC591" s="145"/>
      <c r="BD591" s="145"/>
    </row>
    <row r="592" spans="1:56" ht="18.75" customHeight="1" x14ac:dyDescent="0.55000000000000004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  <c r="AC592" s="145"/>
      <c r="AD592" s="145"/>
      <c r="AE592" s="145"/>
      <c r="AF592" s="145"/>
      <c r="AG592" s="145"/>
      <c r="AH592" s="145"/>
      <c r="AI592" s="145"/>
      <c r="AJ592" s="145"/>
      <c r="AK592" s="145"/>
      <c r="AL592" s="145"/>
      <c r="AM592" s="145"/>
      <c r="AN592" s="145"/>
      <c r="AO592" s="145"/>
      <c r="AP592" s="145"/>
      <c r="AQ592" s="145"/>
      <c r="AR592" s="145"/>
      <c r="AS592" s="145"/>
      <c r="AT592" s="146"/>
      <c r="AU592" s="146"/>
      <c r="AV592" s="145"/>
      <c r="AW592" s="145"/>
      <c r="AX592" s="145"/>
      <c r="AY592" s="145"/>
      <c r="AZ592" s="145"/>
      <c r="BA592" s="145"/>
      <c r="BB592" s="145"/>
      <c r="BC592" s="145"/>
      <c r="BD592" s="145"/>
    </row>
    <row r="593" spans="1:56" ht="18.75" customHeight="1" x14ac:dyDescent="0.55000000000000004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  <c r="AC593" s="145"/>
      <c r="AD593" s="145"/>
      <c r="AE593" s="145"/>
      <c r="AF593" s="145"/>
      <c r="AG593" s="145"/>
      <c r="AH593" s="145"/>
      <c r="AI593" s="145"/>
      <c r="AJ593" s="145"/>
      <c r="AK593" s="145"/>
      <c r="AL593" s="145"/>
      <c r="AM593" s="145"/>
      <c r="AN593" s="145"/>
      <c r="AO593" s="145"/>
      <c r="AP593" s="145"/>
      <c r="AQ593" s="145"/>
      <c r="AR593" s="145"/>
      <c r="AS593" s="145"/>
      <c r="AT593" s="146"/>
      <c r="AU593" s="146"/>
      <c r="AV593" s="145"/>
      <c r="AW593" s="145"/>
      <c r="AX593" s="145"/>
      <c r="AY593" s="145"/>
      <c r="AZ593" s="145"/>
      <c r="BA593" s="145"/>
      <c r="BB593" s="145"/>
      <c r="BC593" s="145"/>
      <c r="BD593" s="145"/>
    </row>
    <row r="594" spans="1:56" ht="18.75" customHeight="1" x14ac:dyDescent="0.55000000000000004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  <c r="AC594" s="145"/>
      <c r="AD594" s="145"/>
      <c r="AE594" s="145"/>
      <c r="AF594" s="145"/>
      <c r="AG594" s="145"/>
      <c r="AH594" s="145"/>
      <c r="AI594" s="145"/>
      <c r="AJ594" s="145"/>
      <c r="AK594" s="145"/>
      <c r="AL594" s="145"/>
      <c r="AM594" s="145"/>
      <c r="AN594" s="145"/>
      <c r="AO594" s="145"/>
      <c r="AP594" s="145"/>
      <c r="AQ594" s="145"/>
      <c r="AR594" s="145"/>
      <c r="AS594" s="145"/>
      <c r="AT594" s="146"/>
      <c r="AU594" s="146"/>
      <c r="AV594" s="145"/>
      <c r="AW594" s="145"/>
      <c r="AX594" s="145"/>
      <c r="AY594" s="145"/>
      <c r="AZ594" s="145"/>
      <c r="BA594" s="145"/>
      <c r="BB594" s="145"/>
      <c r="BC594" s="145"/>
      <c r="BD594" s="145"/>
    </row>
    <row r="595" spans="1:56" ht="18.75" customHeight="1" x14ac:dyDescent="0.55000000000000004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  <c r="AC595" s="145"/>
      <c r="AD595" s="145"/>
      <c r="AE595" s="145"/>
      <c r="AF595" s="145"/>
      <c r="AG595" s="145"/>
      <c r="AH595" s="145"/>
      <c r="AI595" s="145"/>
      <c r="AJ595" s="145"/>
      <c r="AK595" s="145"/>
      <c r="AL595" s="145"/>
      <c r="AM595" s="145"/>
      <c r="AN595" s="145"/>
      <c r="AO595" s="145"/>
      <c r="AP595" s="145"/>
      <c r="AQ595" s="145"/>
      <c r="AR595" s="145"/>
      <c r="AS595" s="145"/>
      <c r="AT595" s="146"/>
      <c r="AU595" s="146"/>
      <c r="AV595" s="145"/>
      <c r="AW595" s="145"/>
      <c r="AX595" s="145"/>
      <c r="AY595" s="145"/>
      <c r="AZ595" s="145"/>
      <c r="BA595" s="145"/>
      <c r="BB595" s="145"/>
      <c r="BC595" s="145"/>
      <c r="BD595" s="145"/>
    </row>
    <row r="596" spans="1:56" ht="18.75" customHeight="1" x14ac:dyDescent="0.55000000000000004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  <c r="AC596" s="145"/>
      <c r="AD596" s="145"/>
      <c r="AE596" s="145"/>
      <c r="AF596" s="145"/>
      <c r="AG596" s="145"/>
      <c r="AH596" s="145"/>
      <c r="AI596" s="145"/>
      <c r="AJ596" s="145"/>
      <c r="AK596" s="145"/>
      <c r="AL596" s="145"/>
      <c r="AM596" s="145"/>
      <c r="AN596" s="145"/>
      <c r="AO596" s="145"/>
      <c r="AP596" s="145"/>
      <c r="AQ596" s="145"/>
      <c r="AR596" s="145"/>
      <c r="AS596" s="145"/>
      <c r="AT596" s="146"/>
      <c r="AU596" s="146"/>
      <c r="AV596" s="145"/>
      <c r="AW596" s="145"/>
      <c r="AX596" s="145"/>
      <c r="AY596" s="145"/>
      <c r="AZ596" s="145"/>
      <c r="BA596" s="145"/>
      <c r="BB596" s="145"/>
      <c r="BC596" s="145"/>
      <c r="BD596" s="145"/>
    </row>
    <row r="597" spans="1:56" ht="18.75" customHeight="1" x14ac:dyDescent="0.55000000000000004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  <c r="AC597" s="145"/>
      <c r="AD597" s="145"/>
      <c r="AE597" s="145"/>
      <c r="AF597" s="145"/>
      <c r="AG597" s="145"/>
      <c r="AH597" s="145"/>
      <c r="AI597" s="145"/>
      <c r="AJ597" s="145"/>
      <c r="AK597" s="145"/>
      <c r="AL597" s="145"/>
      <c r="AM597" s="145"/>
      <c r="AN597" s="145"/>
      <c r="AO597" s="145"/>
      <c r="AP597" s="145"/>
      <c r="AQ597" s="145"/>
      <c r="AR597" s="145"/>
      <c r="AS597" s="145"/>
      <c r="AT597" s="146"/>
      <c r="AU597" s="146"/>
      <c r="AV597" s="145"/>
      <c r="AW597" s="145"/>
      <c r="AX597" s="145"/>
      <c r="AY597" s="145"/>
      <c r="AZ597" s="145"/>
      <c r="BA597" s="145"/>
      <c r="BB597" s="145"/>
      <c r="BC597" s="145"/>
      <c r="BD597" s="145"/>
    </row>
    <row r="598" spans="1:56" ht="18.75" customHeight="1" x14ac:dyDescent="0.55000000000000004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  <c r="AC598" s="145"/>
      <c r="AD598" s="145"/>
      <c r="AE598" s="145"/>
      <c r="AF598" s="145"/>
      <c r="AG598" s="145"/>
      <c r="AH598" s="145"/>
      <c r="AI598" s="145"/>
      <c r="AJ598" s="145"/>
      <c r="AK598" s="145"/>
      <c r="AL598" s="145"/>
      <c r="AM598" s="145"/>
      <c r="AN598" s="145"/>
      <c r="AO598" s="145"/>
      <c r="AP598" s="145"/>
      <c r="AQ598" s="145"/>
      <c r="AR598" s="145"/>
      <c r="AS598" s="145"/>
      <c r="AT598" s="146"/>
      <c r="AU598" s="146"/>
      <c r="AV598" s="145"/>
      <c r="AW598" s="145"/>
      <c r="AX598" s="145"/>
      <c r="AY598" s="145"/>
      <c r="AZ598" s="145"/>
      <c r="BA598" s="145"/>
      <c r="BB598" s="145"/>
      <c r="BC598" s="145"/>
      <c r="BD598" s="145"/>
    </row>
    <row r="599" spans="1:56" ht="18.75" customHeight="1" x14ac:dyDescent="0.55000000000000004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  <c r="AC599" s="145"/>
      <c r="AD599" s="145"/>
      <c r="AE599" s="145"/>
      <c r="AF599" s="145"/>
      <c r="AG599" s="145"/>
      <c r="AH599" s="145"/>
      <c r="AI599" s="145"/>
      <c r="AJ599" s="145"/>
      <c r="AK599" s="145"/>
      <c r="AL599" s="145"/>
      <c r="AM599" s="145"/>
      <c r="AN599" s="145"/>
      <c r="AO599" s="145"/>
      <c r="AP599" s="145"/>
      <c r="AQ599" s="145"/>
      <c r="AR599" s="145"/>
      <c r="AS599" s="145"/>
      <c r="AT599" s="146"/>
      <c r="AU599" s="146"/>
      <c r="AV599" s="145"/>
      <c r="AW599" s="145"/>
      <c r="AX599" s="145"/>
      <c r="AY599" s="145"/>
      <c r="AZ599" s="145"/>
      <c r="BA599" s="145"/>
      <c r="BB599" s="145"/>
      <c r="BC599" s="145"/>
      <c r="BD599" s="145"/>
    </row>
    <row r="600" spans="1:56" ht="18.75" customHeight="1" x14ac:dyDescent="0.55000000000000004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  <c r="AC600" s="145"/>
      <c r="AD600" s="145"/>
      <c r="AE600" s="145"/>
      <c r="AF600" s="145"/>
      <c r="AG600" s="145"/>
      <c r="AH600" s="145"/>
      <c r="AI600" s="145"/>
      <c r="AJ600" s="145"/>
      <c r="AK600" s="145"/>
      <c r="AL600" s="145"/>
      <c r="AM600" s="145"/>
      <c r="AN600" s="145"/>
      <c r="AO600" s="145"/>
      <c r="AP600" s="145"/>
      <c r="AQ600" s="145"/>
      <c r="AR600" s="145"/>
      <c r="AS600" s="145"/>
      <c r="AT600" s="146"/>
      <c r="AU600" s="146"/>
      <c r="AV600" s="145"/>
      <c r="AW600" s="145"/>
      <c r="AX600" s="145"/>
      <c r="AY600" s="145"/>
      <c r="AZ600" s="145"/>
      <c r="BA600" s="145"/>
      <c r="BB600" s="145"/>
      <c r="BC600" s="145"/>
      <c r="BD600" s="145"/>
    </row>
    <row r="601" spans="1:56" ht="18.75" customHeight="1" x14ac:dyDescent="0.55000000000000004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  <c r="AC601" s="145"/>
      <c r="AD601" s="145"/>
      <c r="AE601" s="145"/>
      <c r="AF601" s="145"/>
      <c r="AG601" s="145"/>
      <c r="AH601" s="145"/>
      <c r="AI601" s="145"/>
      <c r="AJ601" s="145"/>
      <c r="AK601" s="145"/>
      <c r="AL601" s="145"/>
      <c r="AM601" s="145"/>
      <c r="AN601" s="145"/>
      <c r="AO601" s="145"/>
      <c r="AP601" s="145"/>
      <c r="AQ601" s="145"/>
      <c r="AR601" s="145"/>
      <c r="AS601" s="145"/>
      <c r="AT601" s="146"/>
      <c r="AU601" s="146"/>
      <c r="AV601" s="145"/>
      <c r="AW601" s="145"/>
      <c r="AX601" s="145"/>
      <c r="AY601" s="145"/>
      <c r="AZ601" s="145"/>
      <c r="BA601" s="145"/>
      <c r="BB601" s="145"/>
      <c r="BC601" s="145"/>
      <c r="BD601" s="145"/>
    </row>
    <row r="602" spans="1:56" ht="18.75" customHeight="1" x14ac:dyDescent="0.55000000000000004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  <c r="AC602" s="145"/>
      <c r="AD602" s="145"/>
      <c r="AE602" s="145"/>
      <c r="AF602" s="145"/>
      <c r="AG602" s="145"/>
      <c r="AH602" s="145"/>
      <c r="AI602" s="145"/>
      <c r="AJ602" s="145"/>
      <c r="AK602" s="145"/>
      <c r="AL602" s="145"/>
      <c r="AM602" s="145"/>
      <c r="AN602" s="145"/>
      <c r="AO602" s="145"/>
      <c r="AP602" s="145"/>
      <c r="AQ602" s="145"/>
      <c r="AR602" s="145"/>
      <c r="AS602" s="145"/>
      <c r="AT602" s="146"/>
      <c r="AU602" s="146"/>
      <c r="AV602" s="145"/>
      <c r="AW602" s="145"/>
      <c r="AX602" s="145"/>
      <c r="AY602" s="145"/>
      <c r="AZ602" s="145"/>
      <c r="BA602" s="145"/>
      <c r="BB602" s="145"/>
      <c r="BC602" s="145"/>
      <c r="BD602" s="145"/>
    </row>
    <row r="603" spans="1:56" ht="18.75" customHeight="1" x14ac:dyDescent="0.55000000000000004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  <c r="AC603" s="145"/>
      <c r="AD603" s="145"/>
      <c r="AE603" s="145"/>
      <c r="AF603" s="145"/>
      <c r="AG603" s="145"/>
      <c r="AH603" s="145"/>
      <c r="AI603" s="145"/>
      <c r="AJ603" s="145"/>
      <c r="AK603" s="145"/>
      <c r="AL603" s="145"/>
      <c r="AM603" s="145"/>
      <c r="AN603" s="145"/>
      <c r="AO603" s="145"/>
      <c r="AP603" s="145"/>
      <c r="AQ603" s="145"/>
      <c r="AR603" s="145"/>
      <c r="AS603" s="145"/>
      <c r="AT603" s="146"/>
      <c r="AU603" s="146"/>
      <c r="AV603" s="145"/>
      <c r="AW603" s="145"/>
      <c r="AX603" s="145"/>
      <c r="AY603" s="145"/>
      <c r="AZ603" s="145"/>
      <c r="BA603" s="145"/>
      <c r="BB603" s="145"/>
      <c r="BC603" s="145"/>
      <c r="BD603" s="145"/>
    </row>
    <row r="604" spans="1:56" ht="18.75" customHeight="1" x14ac:dyDescent="0.55000000000000004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  <c r="AE604" s="145"/>
      <c r="AF604" s="145"/>
      <c r="AG604" s="145"/>
      <c r="AH604" s="145"/>
      <c r="AI604" s="145"/>
      <c r="AJ604" s="145"/>
      <c r="AK604" s="145"/>
      <c r="AL604" s="145"/>
      <c r="AM604" s="145"/>
      <c r="AN604" s="145"/>
      <c r="AO604" s="145"/>
      <c r="AP604" s="145"/>
      <c r="AQ604" s="145"/>
      <c r="AR604" s="145"/>
      <c r="AS604" s="145"/>
      <c r="AT604" s="146"/>
      <c r="AU604" s="146"/>
      <c r="AV604" s="145"/>
      <c r="AW604" s="145"/>
      <c r="AX604" s="145"/>
      <c r="AY604" s="145"/>
      <c r="AZ604" s="145"/>
      <c r="BA604" s="145"/>
      <c r="BB604" s="145"/>
      <c r="BC604" s="145"/>
      <c r="BD604" s="145"/>
    </row>
    <row r="605" spans="1:56" ht="18.75" customHeight="1" x14ac:dyDescent="0.55000000000000004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  <c r="AC605" s="145"/>
      <c r="AD605" s="145"/>
      <c r="AE605" s="145"/>
      <c r="AF605" s="145"/>
      <c r="AG605" s="145"/>
      <c r="AH605" s="145"/>
      <c r="AI605" s="145"/>
      <c r="AJ605" s="145"/>
      <c r="AK605" s="145"/>
      <c r="AL605" s="145"/>
      <c r="AM605" s="145"/>
      <c r="AN605" s="145"/>
      <c r="AO605" s="145"/>
      <c r="AP605" s="145"/>
      <c r="AQ605" s="145"/>
      <c r="AR605" s="145"/>
      <c r="AS605" s="145"/>
      <c r="AT605" s="146"/>
      <c r="AU605" s="146"/>
      <c r="AV605" s="145"/>
      <c r="AW605" s="145"/>
      <c r="AX605" s="145"/>
      <c r="AY605" s="145"/>
      <c r="AZ605" s="145"/>
      <c r="BA605" s="145"/>
      <c r="BB605" s="145"/>
      <c r="BC605" s="145"/>
      <c r="BD605" s="145"/>
    </row>
    <row r="606" spans="1:56" ht="18.75" customHeight="1" x14ac:dyDescent="0.55000000000000004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  <c r="AC606" s="145"/>
      <c r="AD606" s="145"/>
      <c r="AE606" s="145"/>
      <c r="AF606" s="145"/>
      <c r="AG606" s="145"/>
      <c r="AH606" s="145"/>
      <c r="AI606" s="145"/>
      <c r="AJ606" s="145"/>
      <c r="AK606" s="145"/>
      <c r="AL606" s="145"/>
      <c r="AM606" s="145"/>
      <c r="AN606" s="145"/>
      <c r="AO606" s="145"/>
      <c r="AP606" s="145"/>
      <c r="AQ606" s="145"/>
      <c r="AR606" s="145"/>
      <c r="AS606" s="145"/>
      <c r="AT606" s="146"/>
      <c r="AU606" s="146"/>
      <c r="AV606" s="145"/>
      <c r="AW606" s="145"/>
      <c r="AX606" s="145"/>
      <c r="AY606" s="145"/>
      <c r="AZ606" s="145"/>
      <c r="BA606" s="145"/>
      <c r="BB606" s="145"/>
      <c r="BC606" s="145"/>
      <c r="BD606" s="145"/>
    </row>
    <row r="607" spans="1:56" ht="18.75" customHeight="1" x14ac:dyDescent="0.55000000000000004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  <c r="AC607" s="145"/>
      <c r="AD607" s="145"/>
      <c r="AE607" s="145"/>
      <c r="AF607" s="145"/>
      <c r="AG607" s="145"/>
      <c r="AH607" s="145"/>
      <c r="AI607" s="145"/>
      <c r="AJ607" s="145"/>
      <c r="AK607" s="145"/>
      <c r="AL607" s="145"/>
      <c r="AM607" s="145"/>
      <c r="AN607" s="145"/>
      <c r="AO607" s="145"/>
      <c r="AP607" s="145"/>
      <c r="AQ607" s="145"/>
      <c r="AR607" s="145"/>
      <c r="AS607" s="145"/>
      <c r="AT607" s="146"/>
      <c r="AU607" s="146"/>
      <c r="AV607" s="145"/>
      <c r="AW607" s="145"/>
      <c r="AX607" s="145"/>
      <c r="AY607" s="145"/>
      <c r="AZ607" s="145"/>
      <c r="BA607" s="145"/>
      <c r="BB607" s="145"/>
      <c r="BC607" s="145"/>
      <c r="BD607" s="145"/>
    </row>
    <row r="608" spans="1:56" ht="18.75" customHeight="1" x14ac:dyDescent="0.55000000000000004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  <c r="AC608" s="145"/>
      <c r="AD608" s="145"/>
      <c r="AE608" s="145"/>
      <c r="AF608" s="145"/>
      <c r="AG608" s="145"/>
      <c r="AH608" s="145"/>
      <c r="AI608" s="145"/>
      <c r="AJ608" s="145"/>
      <c r="AK608" s="145"/>
      <c r="AL608" s="145"/>
      <c r="AM608" s="145"/>
      <c r="AN608" s="145"/>
      <c r="AO608" s="145"/>
      <c r="AP608" s="145"/>
      <c r="AQ608" s="145"/>
      <c r="AR608" s="145"/>
      <c r="AS608" s="145"/>
      <c r="AT608" s="146"/>
      <c r="AU608" s="146"/>
      <c r="AV608" s="145"/>
      <c r="AW608" s="145"/>
      <c r="AX608" s="145"/>
      <c r="AY608" s="145"/>
      <c r="AZ608" s="145"/>
      <c r="BA608" s="145"/>
      <c r="BB608" s="145"/>
      <c r="BC608" s="145"/>
      <c r="BD608" s="145"/>
    </row>
    <row r="609" spans="1:56" ht="18.75" customHeight="1" x14ac:dyDescent="0.55000000000000004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  <c r="AC609" s="145"/>
      <c r="AD609" s="145"/>
      <c r="AE609" s="145"/>
      <c r="AF609" s="145"/>
      <c r="AG609" s="145"/>
      <c r="AH609" s="145"/>
      <c r="AI609" s="145"/>
      <c r="AJ609" s="145"/>
      <c r="AK609" s="145"/>
      <c r="AL609" s="145"/>
      <c r="AM609" s="145"/>
      <c r="AN609" s="145"/>
      <c r="AO609" s="145"/>
      <c r="AP609" s="145"/>
      <c r="AQ609" s="145"/>
      <c r="AR609" s="145"/>
      <c r="AS609" s="145"/>
      <c r="AT609" s="146"/>
      <c r="AU609" s="146"/>
      <c r="AV609" s="145"/>
      <c r="AW609" s="145"/>
      <c r="AX609" s="145"/>
      <c r="AY609" s="145"/>
      <c r="AZ609" s="145"/>
      <c r="BA609" s="145"/>
      <c r="BB609" s="145"/>
      <c r="BC609" s="145"/>
      <c r="BD609" s="145"/>
    </row>
    <row r="610" spans="1:56" ht="18.75" customHeight="1" x14ac:dyDescent="0.55000000000000004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  <c r="AC610" s="145"/>
      <c r="AD610" s="145"/>
      <c r="AE610" s="145"/>
      <c r="AF610" s="145"/>
      <c r="AG610" s="145"/>
      <c r="AH610" s="145"/>
      <c r="AI610" s="145"/>
      <c r="AJ610" s="145"/>
      <c r="AK610" s="145"/>
      <c r="AL610" s="145"/>
      <c r="AM610" s="145"/>
      <c r="AN610" s="145"/>
      <c r="AO610" s="145"/>
      <c r="AP610" s="145"/>
      <c r="AQ610" s="145"/>
      <c r="AR610" s="145"/>
      <c r="AS610" s="145"/>
      <c r="AT610" s="146"/>
      <c r="AU610" s="146"/>
      <c r="AV610" s="145"/>
      <c r="AW610" s="145"/>
      <c r="AX610" s="145"/>
      <c r="AY610" s="145"/>
      <c r="AZ610" s="145"/>
      <c r="BA610" s="145"/>
      <c r="BB610" s="145"/>
      <c r="BC610" s="145"/>
      <c r="BD610" s="145"/>
    </row>
    <row r="611" spans="1:56" ht="18.75" customHeight="1" x14ac:dyDescent="0.55000000000000004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  <c r="AC611" s="145"/>
      <c r="AD611" s="145"/>
      <c r="AE611" s="145"/>
      <c r="AF611" s="145"/>
      <c r="AG611" s="145"/>
      <c r="AH611" s="145"/>
      <c r="AI611" s="145"/>
      <c r="AJ611" s="145"/>
      <c r="AK611" s="145"/>
      <c r="AL611" s="145"/>
      <c r="AM611" s="145"/>
      <c r="AN611" s="145"/>
      <c r="AO611" s="145"/>
      <c r="AP611" s="145"/>
      <c r="AQ611" s="145"/>
      <c r="AR611" s="145"/>
      <c r="AS611" s="145"/>
      <c r="AT611" s="146"/>
      <c r="AU611" s="146"/>
      <c r="AV611" s="145"/>
      <c r="AW611" s="145"/>
      <c r="AX611" s="145"/>
      <c r="AY611" s="145"/>
      <c r="AZ611" s="145"/>
      <c r="BA611" s="145"/>
      <c r="BB611" s="145"/>
      <c r="BC611" s="145"/>
      <c r="BD611" s="145"/>
    </row>
    <row r="612" spans="1:56" ht="18.75" customHeight="1" x14ac:dyDescent="0.55000000000000004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  <c r="AC612" s="145"/>
      <c r="AD612" s="145"/>
      <c r="AE612" s="145"/>
      <c r="AF612" s="145"/>
      <c r="AG612" s="145"/>
      <c r="AH612" s="145"/>
      <c r="AI612" s="145"/>
      <c r="AJ612" s="145"/>
      <c r="AK612" s="145"/>
      <c r="AL612" s="145"/>
      <c r="AM612" s="145"/>
      <c r="AN612" s="145"/>
      <c r="AO612" s="145"/>
      <c r="AP612" s="145"/>
      <c r="AQ612" s="145"/>
      <c r="AR612" s="145"/>
      <c r="AS612" s="145"/>
      <c r="AT612" s="146"/>
      <c r="AU612" s="146"/>
      <c r="AV612" s="145"/>
      <c r="AW612" s="145"/>
      <c r="AX612" s="145"/>
      <c r="AY612" s="145"/>
      <c r="AZ612" s="145"/>
      <c r="BA612" s="145"/>
      <c r="BB612" s="145"/>
      <c r="BC612" s="145"/>
      <c r="BD612" s="145"/>
    </row>
    <row r="613" spans="1:56" ht="18.75" customHeight="1" x14ac:dyDescent="0.55000000000000004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  <c r="AC613" s="145"/>
      <c r="AD613" s="145"/>
      <c r="AE613" s="145"/>
      <c r="AF613" s="145"/>
      <c r="AG613" s="145"/>
      <c r="AH613" s="145"/>
      <c r="AI613" s="145"/>
      <c r="AJ613" s="145"/>
      <c r="AK613" s="145"/>
      <c r="AL613" s="145"/>
      <c r="AM613" s="145"/>
      <c r="AN613" s="145"/>
      <c r="AO613" s="145"/>
      <c r="AP613" s="145"/>
      <c r="AQ613" s="145"/>
      <c r="AR613" s="145"/>
      <c r="AS613" s="145"/>
      <c r="AT613" s="146"/>
      <c r="AU613" s="146"/>
      <c r="AV613" s="145"/>
      <c r="AW613" s="145"/>
      <c r="AX613" s="145"/>
      <c r="AY613" s="145"/>
      <c r="AZ613" s="145"/>
      <c r="BA613" s="145"/>
      <c r="BB613" s="145"/>
      <c r="BC613" s="145"/>
      <c r="BD613" s="145"/>
    </row>
    <row r="614" spans="1:56" ht="18.75" customHeight="1" x14ac:dyDescent="0.55000000000000004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  <c r="AE614" s="145"/>
      <c r="AF614" s="145"/>
      <c r="AG614" s="145"/>
      <c r="AH614" s="145"/>
      <c r="AI614" s="145"/>
      <c r="AJ614" s="145"/>
      <c r="AK614" s="145"/>
      <c r="AL614" s="145"/>
      <c r="AM614" s="145"/>
      <c r="AN614" s="145"/>
      <c r="AO614" s="145"/>
      <c r="AP614" s="145"/>
      <c r="AQ614" s="145"/>
      <c r="AR614" s="145"/>
      <c r="AS614" s="145"/>
      <c r="AT614" s="146"/>
      <c r="AU614" s="146"/>
      <c r="AV614" s="145"/>
      <c r="AW614" s="145"/>
      <c r="AX614" s="145"/>
      <c r="AY614" s="145"/>
      <c r="AZ614" s="145"/>
      <c r="BA614" s="145"/>
      <c r="BB614" s="145"/>
      <c r="BC614" s="145"/>
      <c r="BD614" s="145"/>
    </row>
    <row r="615" spans="1:56" ht="18.75" customHeight="1" x14ac:dyDescent="0.55000000000000004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  <c r="AC615" s="145"/>
      <c r="AD615" s="145"/>
      <c r="AE615" s="145"/>
      <c r="AF615" s="145"/>
      <c r="AG615" s="145"/>
      <c r="AH615" s="145"/>
      <c r="AI615" s="145"/>
      <c r="AJ615" s="145"/>
      <c r="AK615" s="145"/>
      <c r="AL615" s="145"/>
      <c r="AM615" s="145"/>
      <c r="AN615" s="145"/>
      <c r="AO615" s="145"/>
      <c r="AP615" s="145"/>
      <c r="AQ615" s="145"/>
      <c r="AR615" s="145"/>
      <c r="AS615" s="145"/>
      <c r="AT615" s="146"/>
      <c r="AU615" s="146"/>
      <c r="AV615" s="145"/>
      <c r="AW615" s="145"/>
      <c r="AX615" s="145"/>
      <c r="AY615" s="145"/>
      <c r="AZ615" s="145"/>
      <c r="BA615" s="145"/>
      <c r="BB615" s="145"/>
      <c r="BC615" s="145"/>
      <c r="BD615" s="145"/>
    </row>
    <row r="616" spans="1:56" ht="18.75" customHeight="1" x14ac:dyDescent="0.55000000000000004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  <c r="AC616" s="145"/>
      <c r="AD616" s="145"/>
      <c r="AE616" s="145"/>
      <c r="AF616" s="145"/>
      <c r="AG616" s="145"/>
      <c r="AH616" s="145"/>
      <c r="AI616" s="145"/>
      <c r="AJ616" s="145"/>
      <c r="AK616" s="145"/>
      <c r="AL616" s="145"/>
      <c r="AM616" s="145"/>
      <c r="AN616" s="145"/>
      <c r="AO616" s="145"/>
      <c r="AP616" s="145"/>
      <c r="AQ616" s="145"/>
      <c r="AR616" s="145"/>
      <c r="AS616" s="145"/>
      <c r="AT616" s="146"/>
      <c r="AU616" s="146"/>
      <c r="AV616" s="145"/>
      <c r="AW616" s="145"/>
      <c r="AX616" s="145"/>
      <c r="AY616" s="145"/>
      <c r="AZ616" s="145"/>
      <c r="BA616" s="145"/>
      <c r="BB616" s="145"/>
      <c r="BC616" s="145"/>
      <c r="BD616" s="145"/>
    </row>
    <row r="617" spans="1:56" ht="18.75" customHeight="1" x14ac:dyDescent="0.55000000000000004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  <c r="AC617" s="145"/>
      <c r="AD617" s="145"/>
      <c r="AE617" s="145"/>
      <c r="AF617" s="145"/>
      <c r="AG617" s="145"/>
      <c r="AH617" s="145"/>
      <c r="AI617" s="145"/>
      <c r="AJ617" s="145"/>
      <c r="AK617" s="145"/>
      <c r="AL617" s="145"/>
      <c r="AM617" s="145"/>
      <c r="AN617" s="145"/>
      <c r="AO617" s="145"/>
      <c r="AP617" s="145"/>
      <c r="AQ617" s="145"/>
      <c r="AR617" s="145"/>
      <c r="AS617" s="145"/>
      <c r="AT617" s="146"/>
      <c r="AU617" s="146"/>
      <c r="AV617" s="145"/>
      <c r="AW617" s="145"/>
      <c r="AX617" s="145"/>
      <c r="AY617" s="145"/>
      <c r="AZ617" s="145"/>
      <c r="BA617" s="145"/>
      <c r="BB617" s="145"/>
      <c r="BC617" s="145"/>
      <c r="BD617" s="145"/>
    </row>
    <row r="618" spans="1:56" ht="18.75" customHeight="1" x14ac:dyDescent="0.55000000000000004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  <c r="AC618" s="145"/>
      <c r="AD618" s="145"/>
      <c r="AE618" s="145"/>
      <c r="AF618" s="145"/>
      <c r="AG618" s="145"/>
      <c r="AH618" s="145"/>
      <c r="AI618" s="145"/>
      <c r="AJ618" s="145"/>
      <c r="AK618" s="145"/>
      <c r="AL618" s="145"/>
      <c r="AM618" s="145"/>
      <c r="AN618" s="145"/>
      <c r="AO618" s="145"/>
      <c r="AP618" s="145"/>
      <c r="AQ618" s="145"/>
      <c r="AR618" s="145"/>
      <c r="AS618" s="145"/>
      <c r="AT618" s="146"/>
      <c r="AU618" s="146"/>
      <c r="AV618" s="145"/>
      <c r="AW618" s="145"/>
      <c r="AX618" s="145"/>
      <c r="AY618" s="145"/>
      <c r="AZ618" s="145"/>
      <c r="BA618" s="145"/>
      <c r="BB618" s="145"/>
      <c r="BC618" s="145"/>
      <c r="BD618" s="145"/>
    </row>
    <row r="619" spans="1:56" ht="18.75" customHeight="1" x14ac:dyDescent="0.55000000000000004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  <c r="AC619" s="145"/>
      <c r="AD619" s="145"/>
      <c r="AE619" s="145"/>
      <c r="AF619" s="145"/>
      <c r="AG619" s="145"/>
      <c r="AH619" s="145"/>
      <c r="AI619" s="145"/>
      <c r="AJ619" s="145"/>
      <c r="AK619" s="145"/>
      <c r="AL619" s="145"/>
      <c r="AM619" s="145"/>
      <c r="AN619" s="145"/>
      <c r="AO619" s="145"/>
      <c r="AP619" s="145"/>
      <c r="AQ619" s="145"/>
      <c r="AR619" s="145"/>
      <c r="AS619" s="145"/>
      <c r="AT619" s="146"/>
      <c r="AU619" s="146"/>
      <c r="AV619" s="145"/>
      <c r="AW619" s="145"/>
      <c r="AX619" s="145"/>
      <c r="AY619" s="145"/>
      <c r="AZ619" s="145"/>
      <c r="BA619" s="145"/>
      <c r="BB619" s="145"/>
      <c r="BC619" s="145"/>
      <c r="BD619" s="145"/>
    </row>
    <row r="620" spans="1:56" ht="18.75" customHeight="1" x14ac:dyDescent="0.55000000000000004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  <c r="AC620" s="145"/>
      <c r="AD620" s="145"/>
      <c r="AE620" s="145"/>
      <c r="AF620" s="145"/>
      <c r="AG620" s="145"/>
      <c r="AH620" s="145"/>
      <c r="AI620" s="145"/>
      <c r="AJ620" s="145"/>
      <c r="AK620" s="145"/>
      <c r="AL620" s="145"/>
      <c r="AM620" s="145"/>
      <c r="AN620" s="145"/>
      <c r="AO620" s="145"/>
      <c r="AP620" s="145"/>
      <c r="AQ620" s="145"/>
      <c r="AR620" s="145"/>
      <c r="AS620" s="145"/>
      <c r="AT620" s="146"/>
      <c r="AU620" s="146"/>
      <c r="AV620" s="145"/>
      <c r="AW620" s="145"/>
      <c r="AX620" s="145"/>
      <c r="AY620" s="145"/>
      <c r="AZ620" s="145"/>
      <c r="BA620" s="145"/>
      <c r="BB620" s="145"/>
      <c r="BC620" s="145"/>
      <c r="BD620" s="145"/>
    </row>
    <row r="621" spans="1:56" ht="18.75" customHeight="1" x14ac:dyDescent="0.55000000000000004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  <c r="AC621" s="145"/>
      <c r="AD621" s="145"/>
      <c r="AE621" s="145"/>
      <c r="AF621" s="145"/>
      <c r="AG621" s="145"/>
      <c r="AH621" s="145"/>
      <c r="AI621" s="145"/>
      <c r="AJ621" s="145"/>
      <c r="AK621" s="145"/>
      <c r="AL621" s="145"/>
      <c r="AM621" s="145"/>
      <c r="AN621" s="145"/>
      <c r="AO621" s="145"/>
      <c r="AP621" s="145"/>
      <c r="AQ621" s="145"/>
      <c r="AR621" s="145"/>
      <c r="AS621" s="145"/>
      <c r="AT621" s="146"/>
      <c r="AU621" s="146"/>
      <c r="AV621" s="145"/>
      <c r="AW621" s="145"/>
      <c r="AX621" s="145"/>
      <c r="AY621" s="145"/>
      <c r="AZ621" s="145"/>
      <c r="BA621" s="145"/>
      <c r="BB621" s="145"/>
      <c r="BC621" s="145"/>
      <c r="BD621" s="145"/>
    </row>
    <row r="622" spans="1:56" ht="18.75" customHeight="1" x14ac:dyDescent="0.55000000000000004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  <c r="AC622" s="145"/>
      <c r="AD622" s="145"/>
      <c r="AE622" s="145"/>
      <c r="AF622" s="145"/>
      <c r="AG622" s="145"/>
      <c r="AH622" s="145"/>
      <c r="AI622" s="145"/>
      <c r="AJ622" s="145"/>
      <c r="AK622" s="145"/>
      <c r="AL622" s="145"/>
      <c r="AM622" s="145"/>
      <c r="AN622" s="145"/>
      <c r="AO622" s="145"/>
      <c r="AP622" s="145"/>
      <c r="AQ622" s="145"/>
      <c r="AR622" s="145"/>
      <c r="AS622" s="145"/>
      <c r="AT622" s="146"/>
      <c r="AU622" s="146"/>
      <c r="AV622" s="145"/>
      <c r="AW622" s="145"/>
      <c r="AX622" s="145"/>
      <c r="AY622" s="145"/>
      <c r="AZ622" s="145"/>
      <c r="BA622" s="145"/>
      <c r="BB622" s="145"/>
      <c r="BC622" s="145"/>
      <c r="BD622" s="145"/>
    </row>
    <row r="623" spans="1:56" ht="18.75" customHeight="1" x14ac:dyDescent="0.55000000000000004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  <c r="AC623" s="145"/>
      <c r="AD623" s="145"/>
      <c r="AE623" s="145"/>
      <c r="AF623" s="145"/>
      <c r="AG623" s="145"/>
      <c r="AH623" s="145"/>
      <c r="AI623" s="145"/>
      <c r="AJ623" s="145"/>
      <c r="AK623" s="145"/>
      <c r="AL623" s="145"/>
      <c r="AM623" s="145"/>
      <c r="AN623" s="145"/>
      <c r="AO623" s="145"/>
      <c r="AP623" s="145"/>
      <c r="AQ623" s="145"/>
      <c r="AR623" s="145"/>
      <c r="AS623" s="145"/>
      <c r="AT623" s="146"/>
      <c r="AU623" s="146"/>
      <c r="AV623" s="145"/>
      <c r="AW623" s="145"/>
      <c r="AX623" s="145"/>
      <c r="AY623" s="145"/>
      <c r="AZ623" s="145"/>
      <c r="BA623" s="145"/>
      <c r="BB623" s="145"/>
      <c r="BC623" s="145"/>
      <c r="BD623" s="145"/>
    </row>
    <row r="624" spans="1:56" ht="18.75" customHeight="1" x14ac:dyDescent="0.55000000000000004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  <c r="AC624" s="145"/>
      <c r="AD624" s="145"/>
      <c r="AE624" s="145"/>
      <c r="AF624" s="145"/>
      <c r="AG624" s="145"/>
      <c r="AH624" s="145"/>
      <c r="AI624" s="145"/>
      <c r="AJ624" s="145"/>
      <c r="AK624" s="145"/>
      <c r="AL624" s="145"/>
      <c r="AM624" s="145"/>
      <c r="AN624" s="145"/>
      <c r="AO624" s="145"/>
      <c r="AP624" s="145"/>
      <c r="AQ624" s="145"/>
      <c r="AR624" s="145"/>
      <c r="AS624" s="145"/>
      <c r="AT624" s="146"/>
      <c r="AU624" s="146"/>
      <c r="AV624" s="145"/>
      <c r="AW624" s="145"/>
      <c r="AX624" s="145"/>
      <c r="AY624" s="145"/>
      <c r="AZ624" s="145"/>
      <c r="BA624" s="145"/>
      <c r="BB624" s="145"/>
      <c r="BC624" s="145"/>
      <c r="BD624" s="145"/>
    </row>
    <row r="625" spans="1:56" ht="18.75" customHeight="1" x14ac:dyDescent="0.55000000000000004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  <c r="AC625" s="145"/>
      <c r="AD625" s="145"/>
      <c r="AE625" s="145"/>
      <c r="AF625" s="145"/>
      <c r="AG625" s="145"/>
      <c r="AH625" s="145"/>
      <c r="AI625" s="145"/>
      <c r="AJ625" s="145"/>
      <c r="AK625" s="145"/>
      <c r="AL625" s="145"/>
      <c r="AM625" s="145"/>
      <c r="AN625" s="145"/>
      <c r="AO625" s="145"/>
      <c r="AP625" s="145"/>
      <c r="AQ625" s="145"/>
      <c r="AR625" s="145"/>
      <c r="AS625" s="145"/>
      <c r="AT625" s="146"/>
      <c r="AU625" s="146"/>
      <c r="AV625" s="145"/>
      <c r="AW625" s="145"/>
      <c r="AX625" s="145"/>
      <c r="AY625" s="145"/>
      <c r="AZ625" s="145"/>
      <c r="BA625" s="145"/>
      <c r="BB625" s="145"/>
      <c r="BC625" s="145"/>
      <c r="BD625" s="145"/>
    </row>
    <row r="626" spans="1:56" ht="18.75" customHeight="1" x14ac:dyDescent="0.55000000000000004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  <c r="AC626" s="145"/>
      <c r="AD626" s="145"/>
      <c r="AE626" s="145"/>
      <c r="AF626" s="145"/>
      <c r="AG626" s="145"/>
      <c r="AH626" s="145"/>
      <c r="AI626" s="145"/>
      <c r="AJ626" s="145"/>
      <c r="AK626" s="145"/>
      <c r="AL626" s="145"/>
      <c r="AM626" s="145"/>
      <c r="AN626" s="145"/>
      <c r="AO626" s="145"/>
      <c r="AP626" s="145"/>
      <c r="AQ626" s="145"/>
      <c r="AR626" s="145"/>
      <c r="AS626" s="145"/>
      <c r="AT626" s="146"/>
      <c r="AU626" s="146"/>
      <c r="AV626" s="145"/>
      <c r="AW626" s="145"/>
      <c r="AX626" s="145"/>
      <c r="AY626" s="145"/>
      <c r="AZ626" s="145"/>
      <c r="BA626" s="145"/>
      <c r="BB626" s="145"/>
      <c r="BC626" s="145"/>
      <c r="BD626" s="145"/>
    </row>
    <row r="627" spans="1:56" ht="18.75" customHeight="1" x14ac:dyDescent="0.55000000000000004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  <c r="AC627" s="145"/>
      <c r="AD627" s="145"/>
      <c r="AE627" s="145"/>
      <c r="AF627" s="145"/>
      <c r="AG627" s="145"/>
      <c r="AH627" s="145"/>
      <c r="AI627" s="145"/>
      <c r="AJ627" s="145"/>
      <c r="AK627" s="145"/>
      <c r="AL627" s="145"/>
      <c r="AM627" s="145"/>
      <c r="AN627" s="145"/>
      <c r="AO627" s="145"/>
      <c r="AP627" s="145"/>
      <c r="AQ627" s="145"/>
      <c r="AR627" s="145"/>
      <c r="AS627" s="145"/>
      <c r="AT627" s="146"/>
      <c r="AU627" s="146"/>
      <c r="AV627" s="145"/>
      <c r="AW627" s="145"/>
      <c r="AX627" s="145"/>
      <c r="AY627" s="145"/>
      <c r="AZ627" s="145"/>
      <c r="BA627" s="145"/>
      <c r="BB627" s="145"/>
      <c r="BC627" s="145"/>
      <c r="BD627" s="145"/>
    </row>
    <row r="628" spans="1:56" ht="18.75" customHeight="1" x14ac:dyDescent="0.55000000000000004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  <c r="AC628" s="145"/>
      <c r="AD628" s="145"/>
      <c r="AE628" s="145"/>
      <c r="AF628" s="145"/>
      <c r="AG628" s="145"/>
      <c r="AH628" s="145"/>
      <c r="AI628" s="145"/>
      <c r="AJ628" s="145"/>
      <c r="AK628" s="145"/>
      <c r="AL628" s="145"/>
      <c r="AM628" s="145"/>
      <c r="AN628" s="145"/>
      <c r="AO628" s="145"/>
      <c r="AP628" s="145"/>
      <c r="AQ628" s="145"/>
      <c r="AR628" s="145"/>
      <c r="AS628" s="145"/>
      <c r="AT628" s="146"/>
      <c r="AU628" s="146"/>
      <c r="AV628" s="145"/>
      <c r="AW628" s="145"/>
      <c r="AX628" s="145"/>
      <c r="AY628" s="145"/>
      <c r="AZ628" s="145"/>
      <c r="BA628" s="145"/>
      <c r="BB628" s="145"/>
      <c r="BC628" s="145"/>
      <c r="BD628" s="145"/>
    </row>
    <row r="629" spans="1:56" ht="18.75" customHeight="1" x14ac:dyDescent="0.55000000000000004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  <c r="AC629" s="145"/>
      <c r="AD629" s="145"/>
      <c r="AE629" s="145"/>
      <c r="AF629" s="145"/>
      <c r="AG629" s="145"/>
      <c r="AH629" s="145"/>
      <c r="AI629" s="145"/>
      <c r="AJ629" s="145"/>
      <c r="AK629" s="145"/>
      <c r="AL629" s="145"/>
      <c r="AM629" s="145"/>
      <c r="AN629" s="145"/>
      <c r="AO629" s="145"/>
      <c r="AP629" s="145"/>
      <c r="AQ629" s="145"/>
      <c r="AR629" s="145"/>
      <c r="AS629" s="145"/>
      <c r="AT629" s="146"/>
      <c r="AU629" s="146"/>
      <c r="AV629" s="145"/>
      <c r="AW629" s="145"/>
      <c r="AX629" s="145"/>
      <c r="AY629" s="145"/>
      <c r="AZ629" s="145"/>
      <c r="BA629" s="145"/>
      <c r="BB629" s="145"/>
      <c r="BC629" s="145"/>
      <c r="BD629" s="145"/>
    </row>
    <row r="630" spans="1:56" ht="18.75" customHeight="1" x14ac:dyDescent="0.55000000000000004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  <c r="AC630" s="145"/>
      <c r="AD630" s="145"/>
      <c r="AE630" s="145"/>
      <c r="AF630" s="145"/>
      <c r="AG630" s="145"/>
      <c r="AH630" s="145"/>
      <c r="AI630" s="145"/>
      <c r="AJ630" s="145"/>
      <c r="AK630" s="145"/>
      <c r="AL630" s="145"/>
      <c r="AM630" s="145"/>
      <c r="AN630" s="145"/>
      <c r="AO630" s="145"/>
      <c r="AP630" s="145"/>
      <c r="AQ630" s="145"/>
      <c r="AR630" s="145"/>
      <c r="AS630" s="145"/>
      <c r="AT630" s="146"/>
      <c r="AU630" s="146"/>
      <c r="AV630" s="145"/>
      <c r="AW630" s="145"/>
      <c r="AX630" s="145"/>
      <c r="AY630" s="145"/>
      <c r="AZ630" s="145"/>
      <c r="BA630" s="145"/>
      <c r="BB630" s="145"/>
      <c r="BC630" s="145"/>
      <c r="BD630" s="145"/>
    </row>
    <row r="631" spans="1:56" ht="18.75" customHeight="1" x14ac:dyDescent="0.55000000000000004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  <c r="AC631" s="145"/>
      <c r="AD631" s="145"/>
      <c r="AE631" s="145"/>
      <c r="AF631" s="145"/>
      <c r="AG631" s="145"/>
      <c r="AH631" s="145"/>
      <c r="AI631" s="145"/>
      <c r="AJ631" s="145"/>
      <c r="AK631" s="145"/>
      <c r="AL631" s="145"/>
      <c r="AM631" s="145"/>
      <c r="AN631" s="145"/>
      <c r="AO631" s="145"/>
      <c r="AP631" s="145"/>
      <c r="AQ631" s="145"/>
      <c r="AR631" s="145"/>
      <c r="AS631" s="145"/>
      <c r="AT631" s="146"/>
      <c r="AU631" s="146"/>
      <c r="AV631" s="145"/>
      <c r="AW631" s="145"/>
      <c r="AX631" s="145"/>
      <c r="AY631" s="145"/>
      <c r="AZ631" s="145"/>
      <c r="BA631" s="145"/>
      <c r="BB631" s="145"/>
      <c r="BC631" s="145"/>
      <c r="BD631" s="145"/>
    </row>
    <row r="632" spans="1:56" ht="18.75" customHeight="1" x14ac:dyDescent="0.55000000000000004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  <c r="AC632" s="145"/>
      <c r="AD632" s="145"/>
      <c r="AE632" s="145"/>
      <c r="AF632" s="145"/>
      <c r="AG632" s="145"/>
      <c r="AH632" s="145"/>
      <c r="AI632" s="145"/>
      <c r="AJ632" s="145"/>
      <c r="AK632" s="145"/>
      <c r="AL632" s="145"/>
      <c r="AM632" s="145"/>
      <c r="AN632" s="145"/>
      <c r="AO632" s="145"/>
      <c r="AP632" s="145"/>
      <c r="AQ632" s="145"/>
      <c r="AR632" s="145"/>
      <c r="AS632" s="145"/>
      <c r="AT632" s="146"/>
      <c r="AU632" s="146"/>
      <c r="AV632" s="145"/>
      <c r="AW632" s="145"/>
      <c r="AX632" s="145"/>
      <c r="AY632" s="145"/>
      <c r="AZ632" s="145"/>
      <c r="BA632" s="145"/>
      <c r="BB632" s="145"/>
      <c r="BC632" s="145"/>
      <c r="BD632" s="145"/>
    </row>
    <row r="633" spans="1:56" ht="18.75" customHeight="1" x14ac:dyDescent="0.55000000000000004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  <c r="AC633" s="145"/>
      <c r="AD633" s="145"/>
      <c r="AE633" s="145"/>
      <c r="AF633" s="145"/>
      <c r="AG633" s="145"/>
      <c r="AH633" s="145"/>
      <c r="AI633" s="145"/>
      <c r="AJ633" s="145"/>
      <c r="AK633" s="145"/>
      <c r="AL633" s="145"/>
      <c r="AM633" s="145"/>
      <c r="AN633" s="145"/>
      <c r="AO633" s="145"/>
      <c r="AP633" s="145"/>
      <c r="AQ633" s="145"/>
      <c r="AR633" s="145"/>
      <c r="AS633" s="145"/>
      <c r="AT633" s="146"/>
      <c r="AU633" s="146"/>
      <c r="AV633" s="145"/>
      <c r="AW633" s="145"/>
      <c r="AX633" s="145"/>
      <c r="AY633" s="145"/>
      <c r="AZ633" s="145"/>
      <c r="BA633" s="145"/>
      <c r="BB633" s="145"/>
      <c r="BC633" s="145"/>
      <c r="BD633" s="145"/>
    </row>
    <row r="634" spans="1:56" ht="18.75" customHeight="1" x14ac:dyDescent="0.55000000000000004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  <c r="AC634" s="145"/>
      <c r="AD634" s="145"/>
      <c r="AE634" s="145"/>
      <c r="AF634" s="145"/>
      <c r="AG634" s="145"/>
      <c r="AH634" s="145"/>
      <c r="AI634" s="145"/>
      <c r="AJ634" s="145"/>
      <c r="AK634" s="145"/>
      <c r="AL634" s="145"/>
      <c r="AM634" s="145"/>
      <c r="AN634" s="145"/>
      <c r="AO634" s="145"/>
      <c r="AP634" s="145"/>
      <c r="AQ634" s="145"/>
      <c r="AR634" s="145"/>
      <c r="AS634" s="145"/>
      <c r="AT634" s="146"/>
      <c r="AU634" s="146"/>
      <c r="AV634" s="145"/>
      <c r="AW634" s="145"/>
      <c r="AX634" s="145"/>
      <c r="AY634" s="145"/>
      <c r="AZ634" s="145"/>
      <c r="BA634" s="145"/>
      <c r="BB634" s="145"/>
      <c r="BC634" s="145"/>
      <c r="BD634" s="145"/>
    </row>
    <row r="635" spans="1:56" ht="18.75" customHeight="1" x14ac:dyDescent="0.55000000000000004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  <c r="AC635" s="145"/>
      <c r="AD635" s="145"/>
      <c r="AE635" s="145"/>
      <c r="AF635" s="145"/>
      <c r="AG635" s="145"/>
      <c r="AH635" s="145"/>
      <c r="AI635" s="145"/>
      <c r="AJ635" s="145"/>
      <c r="AK635" s="145"/>
      <c r="AL635" s="145"/>
      <c r="AM635" s="145"/>
      <c r="AN635" s="145"/>
      <c r="AO635" s="145"/>
      <c r="AP635" s="145"/>
      <c r="AQ635" s="145"/>
      <c r="AR635" s="145"/>
      <c r="AS635" s="145"/>
      <c r="AT635" s="146"/>
      <c r="AU635" s="146"/>
      <c r="AV635" s="145"/>
      <c r="AW635" s="145"/>
      <c r="AX635" s="145"/>
      <c r="AY635" s="145"/>
      <c r="AZ635" s="145"/>
      <c r="BA635" s="145"/>
      <c r="BB635" s="145"/>
      <c r="BC635" s="145"/>
      <c r="BD635" s="145"/>
    </row>
    <row r="636" spans="1:56" ht="18.75" customHeight="1" x14ac:dyDescent="0.55000000000000004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  <c r="AC636" s="145"/>
      <c r="AD636" s="145"/>
      <c r="AE636" s="145"/>
      <c r="AF636" s="145"/>
      <c r="AG636" s="145"/>
      <c r="AH636" s="145"/>
      <c r="AI636" s="145"/>
      <c r="AJ636" s="145"/>
      <c r="AK636" s="145"/>
      <c r="AL636" s="145"/>
      <c r="AM636" s="145"/>
      <c r="AN636" s="145"/>
      <c r="AO636" s="145"/>
      <c r="AP636" s="145"/>
      <c r="AQ636" s="145"/>
      <c r="AR636" s="145"/>
      <c r="AS636" s="145"/>
      <c r="AT636" s="146"/>
      <c r="AU636" s="146"/>
      <c r="AV636" s="145"/>
      <c r="AW636" s="145"/>
      <c r="AX636" s="145"/>
      <c r="AY636" s="145"/>
      <c r="AZ636" s="145"/>
      <c r="BA636" s="145"/>
      <c r="BB636" s="145"/>
      <c r="BC636" s="145"/>
      <c r="BD636" s="145"/>
    </row>
    <row r="637" spans="1:56" ht="18.75" customHeight="1" x14ac:dyDescent="0.55000000000000004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  <c r="AC637" s="145"/>
      <c r="AD637" s="145"/>
      <c r="AE637" s="145"/>
      <c r="AF637" s="145"/>
      <c r="AG637" s="145"/>
      <c r="AH637" s="145"/>
      <c r="AI637" s="145"/>
      <c r="AJ637" s="145"/>
      <c r="AK637" s="145"/>
      <c r="AL637" s="145"/>
      <c r="AM637" s="145"/>
      <c r="AN637" s="145"/>
      <c r="AO637" s="145"/>
      <c r="AP637" s="145"/>
      <c r="AQ637" s="145"/>
      <c r="AR637" s="145"/>
      <c r="AS637" s="145"/>
      <c r="AT637" s="146"/>
      <c r="AU637" s="146"/>
      <c r="AV637" s="145"/>
      <c r="AW637" s="145"/>
      <c r="AX637" s="145"/>
      <c r="AY637" s="145"/>
      <c r="AZ637" s="145"/>
      <c r="BA637" s="145"/>
      <c r="BB637" s="145"/>
      <c r="BC637" s="145"/>
      <c r="BD637" s="145"/>
    </row>
    <row r="638" spans="1:56" ht="18.75" customHeight="1" x14ac:dyDescent="0.55000000000000004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  <c r="AC638" s="145"/>
      <c r="AD638" s="145"/>
      <c r="AE638" s="145"/>
      <c r="AF638" s="145"/>
      <c r="AG638" s="145"/>
      <c r="AH638" s="145"/>
      <c r="AI638" s="145"/>
      <c r="AJ638" s="145"/>
      <c r="AK638" s="145"/>
      <c r="AL638" s="145"/>
      <c r="AM638" s="145"/>
      <c r="AN638" s="145"/>
      <c r="AO638" s="145"/>
      <c r="AP638" s="145"/>
      <c r="AQ638" s="145"/>
      <c r="AR638" s="145"/>
      <c r="AS638" s="145"/>
      <c r="AT638" s="146"/>
      <c r="AU638" s="146"/>
      <c r="AV638" s="145"/>
      <c r="AW638" s="145"/>
      <c r="AX638" s="145"/>
      <c r="AY638" s="145"/>
      <c r="AZ638" s="145"/>
      <c r="BA638" s="145"/>
      <c r="BB638" s="145"/>
      <c r="BC638" s="145"/>
      <c r="BD638" s="145"/>
    </row>
    <row r="639" spans="1:56" ht="18.75" customHeight="1" x14ac:dyDescent="0.55000000000000004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  <c r="AC639" s="145"/>
      <c r="AD639" s="145"/>
      <c r="AE639" s="145"/>
      <c r="AF639" s="145"/>
      <c r="AG639" s="145"/>
      <c r="AH639" s="145"/>
      <c r="AI639" s="145"/>
      <c r="AJ639" s="145"/>
      <c r="AK639" s="145"/>
      <c r="AL639" s="145"/>
      <c r="AM639" s="145"/>
      <c r="AN639" s="145"/>
      <c r="AO639" s="145"/>
      <c r="AP639" s="145"/>
      <c r="AQ639" s="145"/>
      <c r="AR639" s="145"/>
      <c r="AS639" s="145"/>
      <c r="AT639" s="146"/>
      <c r="AU639" s="146"/>
      <c r="AV639" s="145"/>
      <c r="AW639" s="145"/>
      <c r="AX639" s="145"/>
      <c r="AY639" s="145"/>
      <c r="AZ639" s="145"/>
      <c r="BA639" s="145"/>
      <c r="BB639" s="145"/>
      <c r="BC639" s="145"/>
      <c r="BD639" s="145"/>
    </row>
    <row r="640" spans="1:56" ht="18.75" customHeight="1" x14ac:dyDescent="0.55000000000000004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  <c r="AC640" s="145"/>
      <c r="AD640" s="145"/>
      <c r="AE640" s="145"/>
      <c r="AF640" s="145"/>
      <c r="AG640" s="145"/>
      <c r="AH640" s="145"/>
      <c r="AI640" s="145"/>
      <c r="AJ640" s="145"/>
      <c r="AK640" s="145"/>
      <c r="AL640" s="145"/>
      <c r="AM640" s="145"/>
      <c r="AN640" s="145"/>
      <c r="AO640" s="145"/>
      <c r="AP640" s="145"/>
      <c r="AQ640" s="145"/>
      <c r="AR640" s="145"/>
      <c r="AS640" s="145"/>
      <c r="AT640" s="146"/>
      <c r="AU640" s="146"/>
      <c r="AV640" s="145"/>
      <c r="AW640" s="145"/>
      <c r="AX640" s="145"/>
      <c r="AY640" s="145"/>
      <c r="AZ640" s="145"/>
      <c r="BA640" s="145"/>
      <c r="BB640" s="145"/>
      <c r="BC640" s="145"/>
      <c r="BD640" s="145"/>
    </row>
    <row r="641" spans="1:56" ht="18.75" customHeight="1" x14ac:dyDescent="0.55000000000000004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  <c r="AC641" s="145"/>
      <c r="AD641" s="145"/>
      <c r="AE641" s="145"/>
      <c r="AF641" s="145"/>
      <c r="AG641" s="145"/>
      <c r="AH641" s="145"/>
      <c r="AI641" s="145"/>
      <c r="AJ641" s="145"/>
      <c r="AK641" s="145"/>
      <c r="AL641" s="145"/>
      <c r="AM641" s="145"/>
      <c r="AN641" s="145"/>
      <c r="AO641" s="145"/>
      <c r="AP641" s="145"/>
      <c r="AQ641" s="145"/>
      <c r="AR641" s="145"/>
      <c r="AS641" s="145"/>
      <c r="AT641" s="146"/>
      <c r="AU641" s="146"/>
      <c r="AV641" s="145"/>
      <c r="AW641" s="145"/>
      <c r="AX641" s="145"/>
      <c r="AY641" s="145"/>
      <c r="AZ641" s="145"/>
      <c r="BA641" s="145"/>
      <c r="BB641" s="145"/>
      <c r="BC641" s="145"/>
      <c r="BD641" s="145"/>
    </row>
    <row r="642" spans="1:56" ht="18.75" customHeight="1" x14ac:dyDescent="0.55000000000000004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  <c r="AC642" s="145"/>
      <c r="AD642" s="145"/>
      <c r="AE642" s="145"/>
      <c r="AF642" s="145"/>
      <c r="AG642" s="145"/>
      <c r="AH642" s="145"/>
      <c r="AI642" s="145"/>
      <c r="AJ642" s="145"/>
      <c r="AK642" s="145"/>
      <c r="AL642" s="145"/>
      <c r="AM642" s="145"/>
      <c r="AN642" s="145"/>
      <c r="AO642" s="145"/>
      <c r="AP642" s="145"/>
      <c r="AQ642" s="145"/>
      <c r="AR642" s="145"/>
      <c r="AS642" s="145"/>
      <c r="AT642" s="146"/>
      <c r="AU642" s="146"/>
      <c r="AV642" s="145"/>
      <c r="AW642" s="145"/>
      <c r="AX642" s="145"/>
      <c r="AY642" s="145"/>
      <c r="AZ642" s="145"/>
      <c r="BA642" s="145"/>
      <c r="BB642" s="145"/>
      <c r="BC642" s="145"/>
      <c r="BD642" s="145"/>
    </row>
    <row r="643" spans="1:56" ht="18.75" customHeight="1" x14ac:dyDescent="0.55000000000000004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  <c r="AC643" s="145"/>
      <c r="AD643" s="145"/>
      <c r="AE643" s="145"/>
      <c r="AF643" s="145"/>
      <c r="AG643" s="145"/>
      <c r="AH643" s="145"/>
      <c r="AI643" s="145"/>
      <c r="AJ643" s="145"/>
      <c r="AK643" s="145"/>
      <c r="AL643" s="145"/>
      <c r="AM643" s="145"/>
      <c r="AN643" s="145"/>
      <c r="AO643" s="145"/>
      <c r="AP643" s="145"/>
      <c r="AQ643" s="145"/>
      <c r="AR643" s="145"/>
      <c r="AS643" s="145"/>
      <c r="AT643" s="146"/>
      <c r="AU643" s="146"/>
      <c r="AV643" s="145"/>
      <c r="AW643" s="145"/>
      <c r="AX643" s="145"/>
      <c r="AY643" s="145"/>
      <c r="AZ643" s="145"/>
      <c r="BA643" s="145"/>
      <c r="BB643" s="145"/>
      <c r="BC643" s="145"/>
      <c r="BD643" s="145"/>
    </row>
    <row r="644" spans="1:56" ht="18.75" customHeight="1" x14ac:dyDescent="0.55000000000000004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  <c r="AC644" s="145"/>
      <c r="AD644" s="145"/>
      <c r="AE644" s="145"/>
      <c r="AF644" s="145"/>
      <c r="AG644" s="145"/>
      <c r="AH644" s="145"/>
      <c r="AI644" s="145"/>
      <c r="AJ644" s="145"/>
      <c r="AK644" s="145"/>
      <c r="AL644" s="145"/>
      <c r="AM644" s="145"/>
      <c r="AN644" s="145"/>
      <c r="AO644" s="145"/>
      <c r="AP644" s="145"/>
      <c r="AQ644" s="145"/>
      <c r="AR644" s="145"/>
      <c r="AS644" s="145"/>
      <c r="AT644" s="146"/>
      <c r="AU644" s="146"/>
      <c r="AV644" s="145"/>
      <c r="AW644" s="145"/>
      <c r="AX644" s="145"/>
      <c r="AY644" s="145"/>
      <c r="AZ644" s="145"/>
      <c r="BA644" s="145"/>
      <c r="BB644" s="145"/>
      <c r="BC644" s="145"/>
      <c r="BD644" s="145"/>
    </row>
    <row r="645" spans="1:56" ht="18.75" customHeight="1" x14ac:dyDescent="0.55000000000000004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  <c r="AC645" s="145"/>
      <c r="AD645" s="145"/>
      <c r="AE645" s="145"/>
      <c r="AF645" s="145"/>
      <c r="AG645" s="145"/>
      <c r="AH645" s="145"/>
      <c r="AI645" s="145"/>
      <c r="AJ645" s="145"/>
      <c r="AK645" s="145"/>
      <c r="AL645" s="145"/>
      <c r="AM645" s="145"/>
      <c r="AN645" s="145"/>
      <c r="AO645" s="145"/>
      <c r="AP645" s="145"/>
      <c r="AQ645" s="145"/>
      <c r="AR645" s="145"/>
      <c r="AS645" s="145"/>
      <c r="AT645" s="146"/>
      <c r="AU645" s="146"/>
      <c r="AV645" s="145"/>
      <c r="AW645" s="145"/>
      <c r="AX645" s="145"/>
      <c r="AY645" s="145"/>
      <c r="AZ645" s="145"/>
      <c r="BA645" s="145"/>
      <c r="BB645" s="145"/>
      <c r="BC645" s="145"/>
      <c r="BD645" s="145"/>
    </row>
    <row r="646" spans="1:56" ht="18.75" customHeight="1" x14ac:dyDescent="0.55000000000000004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  <c r="AC646" s="145"/>
      <c r="AD646" s="145"/>
      <c r="AE646" s="145"/>
      <c r="AF646" s="145"/>
      <c r="AG646" s="145"/>
      <c r="AH646" s="145"/>
      <c r="AI646" s="145"/>
      <c r="AJ646" s="145"/>
      <c r="AK646" s="145"/>
      <c r="AL646" s="145"/>
      <c r="AM646" s="145"/>
      <c r="AN646" s="145"/>
      <c r="AO646" s="145"/>
      <c r="AP646" s="145"/>
      <c r="AQ646" s="145"/>
      <c r="AR646" s="145"/>
      <c r="AS646" s="145"/>
      <c r="AT646" s="146"/>
      <c r="AU646" s="146"/>
      <c r="AV646" s="145"/>
      <c r="AW646" s="145"/>
      <c r="AX646" s="145"/>
      <c r="AY646" s="145"/>
      <c r="AZ646" s="145"/>
      <c r="BA646" s="145"/>
      <c r="BB646" s="145"/>
      <c r="BC646" s="145"/>
      <c r="BD646" s="145"/>
    </row>
    <row r="647" spans="1:56" ht="18.75" customHeight="1" x14ac:dyDescent="0.55000000000000004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  <c r="AC647" s="145"/>
      <c r="AD647" s="145"/>
      <c r="AE647" s="145"/>
      <c r="AF647" s="145"/>
      <c r="AG647" s="145"/>
      <c r="AH647" s="145"/>
      <c r="AI647" s="145"/>
      <c r="AJ647" s="145"/>
      <c r="AK647" s="145"/>
      <c r="AL647" s="145"/>
      <c r="AM647" s="145"/>
      <c r="AN647" s="145"/>
      <c r="AO647" s="145"/>
      <c r="AP647" s="145"/>
      <c r="AQ647" s="145"/>
      <c r="AR647" s="145"/>
      <c r="AS647" s="145"/>
      <c r="AT647" s="146"/>
      <c r="AU647" s="146"/>
      <c r="AV647" s="145"/>
      <c r="AW647" s="145"/>
      <c r="AX647" s="145"/>
      <c r="AY647" s="145"/>
      <c r="AZ647" s="145"/>
      <c r="BA647" s="145"/>
      <c r="BB647" s="145"/>
      <c r="BC647" s="145"/>
      <c r="BD647" s="145"/>
    </row>
    <row r="648" spans="1:56" ht="18.75" customHeight="1" x14ac:dyDescent="0.55000000000000004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  <c r="AC648" s="145"/>
      <c r="AD648" s="145"/>
      <c r="AE648" s="145"/>
      <c r="AF648" s="145"/>
      <c r="AG648" s="145"/>
      <c r="AH648" s="145"/>
      <c r="AI648" s="145"/>
      <c r="AJ648" s="145"/>
      <c r="AK648" s="145"/>
      <c r="AL648" s="145"/>
      <c r="AM648" s="145"/>
      <c r="AN648" s="145"/>
      <c r="AO648" s="145"/>
      <c r="AP648" s="145"/>
      <c r="AQ648" s="145"/>
      <c r="AR648" s="145"/>
      <c r="AS648" s="145"/>
      <c r="AT648" s="146"/>
      <c r="AU648" s="146"/>
      <c r="AV648" s="145"/>
      <c r="AW648" s="145"/>
      <c r="AX648" s="145"/>
      <c r="AY648" s="145"/>
      <c r="AZ648" s="145"/>
      <c r="BA648" s="145"/>
      <c r="BB648" s="145"/>
      <c r="BC648" s="145"/>
      <c r="BD648" s="145"/>
    </row>
    <row r="649" spans="1:56" ht="18.75" customHeight="1" x14ac:dyDescent="0.55000000000000004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  <c r="AC649" s="145"/>
      <c r="AD649" s="145"/>
      <c r="AE649" s="145"/>
      <c r="AF649" s="145"/>
      <c r="AG649" s="145"/>
      <c r="AH649" s="145"/>
      <c r="AI649" s="145"/>
      <c r="AJ649" s="145"/>
      <c r="AK649" s="145"/>
      <c r="AL649" s="145"/>
      <c r="AM649" s="145"/>
      <c r="AN649" s="145"/>
      <c r="AO649" s="145"/>
      <c r="AP649" s="145"/>
      <c r="AQ649" s="145"/>
      <c r="AR649" s="145"/>
      <c r="AS649" s="145"/>
      <c r="AT649" s="146"/>
      <c r="AU649" s="146"/>
      <c r="AV649" s="145"/>
      <c r="AW649" s="145"/>
      <c r="AX649" s="145"/>
      <c r="AY649" s="145"/>
      <c r="AZ649" s="145"/>
      <c r="BA649" s="145"/>
      <c r="BB649" s="145"/>
      <c r="BC649" s="145"/>
      <c r="BD649" s="145"/>
    </row>
    <row r="650" spans="1:56" ht="18.75" customHeight="1" x14ac:dyDescent="0.55000000000000004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  <c r="AC650" s="145"/>
      <c r="AD650" s="145"/>
      <c r="AE650" s="145"/>
      <c r="AF650" s="145"/>
      <c r="AG650" s="145"/>
      <c r="AH650" s="145"/>
      <c r="AI650" s="145"/>
      <c r="AJ650" s="145"/>
      <c r="AK650" s="145"/>
      <c r="AL650" s="145"/>
      <c r="AM650" s="145"/>
      <c r="AN650" s="145"/>
      <c r="AO650" s="145"/>
      <c r="AP650" s="145"/>
      <c r="AQ650" s="145"/>
      <c r="AR650" s="145"/>
      <c r="AS650" s="145"/>
      <c r="AT650" s="146"/>
      <c r="AU650" s="146"/>
      <c r="AV650" s="145"/>
      <c r="AW650" s="145"/>
      <c r="AX650" s="145"/>
      <c r="AY650" s="145"/>
      <c r="AZ650" s="145"/>
      <c r="BA650" s="145"/>
      <c r="BB650" s="145"/>
      <c r="BC650" s="145"/>
      <c r="BD650" s="145"/>
    </row>
    <row r="651" spans="1:56" ht="18.75" customHeight="1" x14ac:dyDescent="0.55000000000000004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  <c r="AC651" s="145"/>
      <c r="AD651" s="145"/>
      <c r="AE651" s="145"/>
      <c r="AF651" s="145"/>
      <c r="AG651" s="145"/>
      <c r="AH651" s="145"/>
      <c r="AI651" s="145"/>
      <c r="AJ651" s="145"/>
      <c r="AK651" s="145"/>
      <c r="AL651" s="145"/>
      <c r="AM651" s="145"/>
      <c r="AN651" s="145"/>
      <c r="AO651" s="145"/>
      <c r="AP651" s="145"/>
      <c r="AQ651" s="145"/>
      <c r="AR651" s="145"/>
      <c r="AS651" s="145"/>
      <c r="AT651" s="146"/>
      <c r="AU651" s="146"/>
      <c r="AV651" s="145"/>
      <c r="AW651" s="145"/>
      <c r="AX651" s="145"/>
      <c r="AY651" s="145"/>
      <c r="AZ651" s="145"/>
      <c r="BA651" s="145"/>
      <c r="BB651" s="145"/>
      <c r="BC651" s="145"/>
      <c r="BD651" s="145"/>
    </row>
    <row r="652" spans="1:56" ht="18.75" customHeight="1" x14ac:dyDescent="0.55000000000000004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  <c r="AC652" s="145"/>
      <c r="AD652" s="145"/>
      <c r="AE652" s="145"/>
      <c r="AF652" s="145"/>
      <c r="AG652" s="145"/>
      <c r="AH652" s="145"/>
      <c r="AI652" s="145"/>
      <c r="AJ652" s="145"/>
      <c r="AK652" s="145"/>
      <c r="AL652" s="145"/>
      <c r="AM652" s="145"/>
      <c r="AN652" s="145"/>
      <c r="AO652" s="145"/>
      <c r="AP652" s="145"/>
      <c r="AQ652" s="145"/>
      <c r="AR652" s="145"/>
      <c r="AS652" s="145"/>
      <c r="AT652" s="146"/>
      <c r="AU652" s="146"/>
      <c r="AV652" s="145"/>
      <c r="AW652" s="145"/>
      <c r="AX652" s="145"/>
      <c r="AY652" s="145"/>
      <c r="AZ652" s="145"/>
      <c r="BA652" s="145"/>
      <c r="BB652" s="145"/>
      <c r="BC652" s="145"/>
      <c r="BD652" s="145"/>
    </row>
    <row r="653" spans="1:56" ht="18.75" customHeight="1" x14ac:dyDescent="0.55000000000000004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  <c r="AC653" s="145"/>
      <c r="AD653" s="145"/>
      <c r="AE653" s="145"/>
      <c r="AF653" s="145"/>
      <c r="AG653" s="145"/>
      <c r="AH653" s="145"/>
      <c r="AI653" s="145"/>
      <c r="AJ653" s="145"/>
      <c r="AK653" s="145"/>
      <c r="AL653" s="145"/>
      <c r="AM653" s="145"/>
      <c r="AN653" s="145"/>
      <c r="AO653" s="145"/>
      <c r="AP653" s="145"/>
      <c r="AQ653" s="145"/>
      <c r="AR653" s="145"/>
      <c r="AS653" s="145"/>
      <c r="AT653" s="146"/>
      <c r="AU653" s="146"/>
      <c r="AV653" s="145"/>
      <c r="AW653" s="145"/>
      <c r="AX653" s="145"/>
      <c r="AY653" s="145"/>
      <c r="AZ653" s="145"/>
      <c r="BA653" s="145"/>
      <c r="BB653" s="145"/>
      <c r="BC653" s="145"/>
      <c r="BD653" s="145"/>
    </row>
    <row r="654" spans="1:56" ht="18.75" customHeight="1" x14ac:dyDescent="0.55000000000000004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  <c r="AC654" s="145"/>
      <c r="AD654" s="145"/>
      <c r="AE654" s="145"/>
      <c r="AF654" s="145"/>
      <c r="AG654" s="145"/>
      <c r="AH654" s="145"/>
      <c r="AI654" s="145"/>
      <c r="AJ654" s="145"/>
      <c r="AK654" s="145"/>
      <c r="AL654" s="145"/>
      <c r="AM654" s="145"/>
      <c r="AN654" s="145"/>
      <c r="AO654" s="145"/>
      <c r="AP654" s="145"/>
      <c r="AQ654" s="145"/>
      <c r="AR654" s="145"/>
      <c r="AS654" s="145"/>
      <c r="AT654" s="146"/>
      <c r="AU654" s="146"/>
      <c r="AV654" s="145"/>
      <c r="AW654" s="145"/>
      <c r="AX654" s="145"/>
      <c r="AY654" s="145"/>
      <c r="AZ654" s="145"/>
      <c r="BA654" s="145"/>
      <c r="BB654" s="145"/>
      <c r="BC654" s="145"/>
      <c r="BD654" s="145"/>
    </row>
    <row r="655" spans="1:56" ht="18.75" customHeight="1" x14ac:dyDescent="0.55000000000000004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  <c r="AC655" s="145"/>
      <c r="AD655" s="145"/>
      <c r="AE655" s="145"/>
      <c r="AF655" s="145"/>
      <c r="AG655" s="145"/>
      <c r="AH655" s="145"/>
      <c r="AI655" s="145"/>
      <c r="AJ655" s="145"/>
      <c r="AK655" s="145"/>
      <c r="AL655" s="145"/>
      <c r="AM655" s="145"/>
      <c r="AN655" s="145"/>
      <c r="AO655" s="145"/>
      <c r="AP655" s="145"/>
      <c r="AQ655" s="145"/>
      <c r="AR655" s="145"/>
      <c r="AS655" s="145"/>
      <c r="AT655" s="146"/>
      <c r="AU655" s="146"/>
      <c r="AV655" s="145"/>
      <c r="AW655" s="145"/>
      <c r="AX655" s="145"/>
      <c r="AY655" s="145"/>
      <c r="AZ655" s="145"/>
      <c r="BA655" s="145"/>
      <c r="BB655" s="145"/>
      <c r="BC655" s="145"/>
      <c r="BD655" s="145"/>
    </row>
    <row r="656" spans="1:56" ht="18.75" customHeight="1" x14ac:dyDescent="0.55000000000000004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  <c r="AC656" s="145"/>
      <c r="AD656" s="145"/>
      <c r="AE656" s="145"/>
      <c r="AF656" s="145"/>
      <c r="AG656" s="145"/>
      <c r="AH656" s="145"/>
      <c r="AI656" s="145"/>
      <c r="AJ656" s="145"/>
      <c r="AK656" s="145"/>
      <c r="AL656" s="145"/>
      <c r="AM656" s="145"/>
      <c r="AN656" s="145"/>
      <c r="AO656" s="145"/>
      <c r="AP656" s="145"/>
      <c r="AQ656" s="145"/>
      <c r="AR656" s="145"/>
      <c r="AS656" s="145"/>
      <c r="AT656" s="146"/>
      <c r="AU656" s="146"/>
      <c r="AV656" s="145"/>
      <c r="AW656" s="145"/>
      <c r="AX656" s="145"/>
      <c r="AY656" s="145"/>
      <c r="AZ656" s="145"/>
      <c r="BA656" s="145"/>
      <c r="BB656" s="145"/>
      <c r="BC656" s="145"/>
      <c r="BD656" s="145"/>
    </row>
    <row r="657" spans="1:56" ht="18.75" customHeight="1" x14ac:dyDescent="0.55000000000000004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  <c r="AC657" s="145"/>
      <c r="AD657" s="145"/>
      <c r="AE657" s="145"/>
      <c r="AF657" s="145"/>
      <c r="AG657" s="145"/>
      <c r="AH657" s="145"/>
      <c r="AI657" s="145"/>
      <c r="AJ657" s="145"/>
      <c r="AK657" s="145"/>
      <c r="AL657" s="145"/>
      <c r="AM657" s="145"/>
      <c r="AN657" s="145"/>
      <c r="AO657" s="145"/>
      <c r="AP657" s="145"/>
      <c r="AQ657" s="145"/>
      <c r="AR657" s="145"/>
      <c r="AS657" s="145"/>
      <c r="AT657" s="146"/>
      <c r="AU657" s="146"/>
      <c r="AV657" s="145"/>
      <c r="AW657" s="145"/>
      <c r="AX657" s="145"/>
      <c r="AY657" s="145"/>
      <c r="AZ657" s="145"/>
      <c r="BA657" s="145"/>
      <c r="BB657" s="145"/>
      <c r="BC657" s="145"/>
      <c r="BD657" s="145"/>
    </row>
    <row r="658" spans="1:56" ht="18.75" customHeight="1" x14ac:dyDescent="0.55000000000000004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  <c r="AC658" s="145"/>
      <c r="AD658" s="145"/>
      <c r="AE658" s="145"/>
      <c r="AF658" s="145"/>
      <c r="AG658" s="145"/>
      <c r="AH658" s="145"/>
      <c r="AI658" s="145"/>
      <c r="AJ658" s="145"/>
      <c r="AK658" s="145"/>
      <c r="AL658" s="145"/>
      <c r="AM658" s="145"/>
      <c r="AN658" s="145"/>
      <c r="AO658" s="145"/>
      <c r="AP658" s="145"/>
      <c r="AQ658" s="145"/>
      <c r="AR658" s="145"/>
      <c r="AS658" s="145"/>
      <c r="AT658" s="146"/>
      <c r="AU658" s="146"/>
      <c r="AV658" s="145"/>
      <c r="AW658" s="145"/>
      <c r="AX658" s="145"/>
      <c r="AY658" s="145"/>
      <c r="AZ658" s="145"/>
      <c r="BA658" s="145"/>
      <c r="BB658" s="145"/>
      <c r="BC658" s="145"/>
      <c r="BD658" s="145"/>
    </row>
    <row r="659" spans="1:56" ht="18.75" customHeight="1" x14ac:dyDescent="0.55000000000000004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  <c r="AC659" s="145"/>
      <c r="AD659" s="145"/>
      <c r="AE659" s="145"/>
      <c r="AF659" s="145"/>
      <c r="AG659" s="145"/>
      <c r="AH659" s="145"/>
      <c r="AI659" s="145"/>
      <c r="AJ659" s="145"/>
      <c r="AK659" s="145"/>
      <c r="AL659" s="145"/>
      <c r="AM659" s="145"/>
      <c r="AN659" s="145"/>
      <c r="AO659" s="145"/>
      <c r="AP659" s="145"/>
      <c r="AQ659" s="145"/>
      <c r="AR659" s="145"/>
      <c r="AS659" s="145"/>
      <c r="AT659" s="146"/>
      <c r="AU659" s="146"/>
      <c r="AV659" s="145"/>
      <c r="AW659" s="145"/>
      <c r="AX659" s="145"/>
      <c r="AY659" s="145"/>
      <c r="AZ659" s="145"/>
      <c r="BA659" s="145"/>
      <c r="BB659" s="145"/>
      <c r="BC659" s="145"/>
      <c r="BD659" s="145"/>
    </row>
    <row r="660" spans="1:56" ht="18.75" customHeight="1" x14ac:dyDescent="0.55000000000000004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  <c r="AC660" s="145"/>
      <c r="AD660" s="145"/>
      <c r="AE660" s="145"/>
      <c r="AF660" s="145"/>
      <c r="AG660" s="145"/>
      <c r="AH660" s="145"/>
      <c r="AI660" s="145"/>
      <c r="AJ660" s="145"/>
      <c r="AK660" s="145"/>
      <c r="AL660" s="145"/>
      <c r="AM660" s="145"/>
      <c r="AN660" s="145"/>
      <c r="AO660" s="145"/>
      <c r="AP660" s="145"/>
      <c r="AQ660" s="145"/>
      <c r="AR660" s="145"/>
      <c r="AS660" s="145"/>
      <c r="AT660" s="146"/>
      <c r="AU660" s="146"/>
      <c r="AV660" s="145"/>
      <c r="AW660" s="145"/>
      <c r="AX660" s="145"/>
      <c r="AY660" s="145"/>
      <c r="AZ660" s="145"/>
      <c r="BA660" s="145"/>
      <c r="BB660" s="145"/>
      <c r="BC660" s="145"/>
      <c r="BD660" s="145"/>
    </row>
    <row r="661" spans="1:56" ht="18.75" customHeight="1" x14ac:dyDescent="0.55000000000000004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  <c r="AC661" s="145"/>
      <c r="AD661" s="145"/>
      <c r="AE661" s="145"/>
      <c r="AF661" s="145"/>
      <c r="AG661" s="145"/>
      <c r="AH661" s="145"/>
      <c r="AI661" s="145"/>
      <c r="AJ661" s="145"/>
      <c r="AK661" s="145"/>
      <c r="AL661" s="145"/>
      <c r="AM661" s="145"/>
      <c r="AN661" s="145"/>
      <c r="AO661" s="145"/>
      <c r="AP661" s="145"/>
      <c r="AQ661" s="145"/>
      <c r="AR661" s="145"/>
      <c r="AS661" s="145"/>
      <c r="AT661" s="146"/>
      <c r="AU661" s="146"/>
      <c r="AV661" s="145"/>
      <c r="AW661" s="145"/>
      <c r="AX661" s="145"/>
      <c r="AY661" s="145"/>
      <c r="AZ661" s="145"/>
      <c r="BA661" s="145"/>
      <c r="BB661" s="145"/>
      <c r="BC661" s="145"/>
      <c r="BD661" s="145"/>
    </row>
    <row r="662" spans="1:56" ht="18.75" customHeight="1" x14ac:dyDescent="0.55000000000000004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  <c r="AC662" s="145"/>
      <c r="AD662" s="145"/>
      <c r="AE662" s="145"/>
      <c r="AF662" s="145"/>
      <c r="AG662" s="145"/>
      <c r="AH662" s="145"/>
      <c r="AI662" s="145"/>
      <c r="AJ662" s="145"/>
      <c r="AK662" s="145"/>
      <c r="AL662" s="145"/>
      <c r="AM662" s="145"/>
      <c r="AN662" s="145"/>
      <c r="AO662" s="145"/>
      <c r="AP662" s="145"/>
      <c r="AQ662" s="145"/>
      <c r="AR662" s="145"/>
      <c r="AS662" s="145"/>
      <c r="AT662" s="146"/>
      <c r="AU662" s="146"/>
      <c r="AV662" s="145"/>
      <c r="AW662" s="145"/>
      <c r="AX662" s="145"/>
      <c r="AY662" s="145"/>
      <c r="AZ662" s="145"/>
      <c r="BA662" s="145"/>
      <c r="BB662" s="145"/>
      <c r="BC662" s="145"/>
      <c r="BD662" s="145"/>
    </row>
    <row r="663" spans="1:56" ht="18.75" customHeight="1" x14ac:dyDescent="0.55000000000000004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  <c r="AC663" s="145"/>
      <c r="AD663" s="145"/>
      <c r="AE663" s="145"/>
      <c r="AF663" s="145"/>
      <c r="AG663" s="145"/>
      <c r="AH663" s="145"/>
      <c r="AI663" s="145"/>
      <c r="AJ663" s="145"/>
      <c r="AK663" s="145"/>
      <c r="AL663" s="145"/>
      <c r="AM663" s="145"/>
      <c r="AN663" s="145"/>
      <c r="AO663" s="145"/>
      <c r="AP663" s="145"/>
      <c r="AQ663" s="145"/>
      <c r="AR663" s="145"/>
      <c r="AS663" s="145"/>
      <c r="AT663" s="146"/>
      <c r="AU663" s="146"/>
      <c r="AV663" s="145"/>
      <c r="AW663" s="145"/>
      <c r="AX663" s="145"/>
      <c r="AY663" s="145"/>
      <c r="AZ663" s="145"/>
      <c r="BA663" s="145"/>
      <c r="BB663" s="145"/>
      <c r="BC663" s="145"/>
      <c r="BD663" s="145"/>
    </row>
    <row r="664" spans="1:56" ht="18.75" customHeight="1" x14ac:dyDescent="0.55000000000000004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  <c r="AC664" s="145"/>
      <c r="AD664" s="145"/>
      <c r="AE664" s="145"/>
      <c r="AF664" s="145"/>
      <c r="AG664" s="145"/>
      <c r="AH664" s="145"/>
      <c r="AI664" s="145"/>
      <c r="AJ664" s="145"/>
      <c r="AK664" s="145"/>
      <c r="AL664" s="145"/>
      <c r="AM664" s="145"/>
      <c r="AN664" s="145"/>
      <c r="AO664" s="145"/>
      <c r="AP664" s="145"/>
      <c r="AQ664" s="145"/>
      <c r="AR664" s="145"/>
      <c r="AS664" s="145"/>
      <c r="AT664" s="146"/>
      <c r="AU664" s="146"/>
      <c r="AV664" s="145"/>
      <c r="AW664" s="145"/>
      <c r="AX664" s="145"/>
      <c r="AY664" s="145"/>
      <c r="AZ664" s="145"/>
      <c r="BA664" s="145"/>
      <c r="BB664" s="145"/>
      <c r="BC664" s="145"/>
      <c r="BD664" s="145"/>
    </row>
    <row r="665" spans="1:56" ht="18.75" customHeight="1" x14ac:dyDescent="0.55000000000000004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  <c r="AC665" s="145"/>
      <c r="AD665" s="145"/>
      <c r="AE665" s="145"/>
      <c r="AF665" s="145"/>
      <c r="AG665" s="145"/>
      <c r="AH665" s="145"/>
      <c r="AI665" s="145"/>
      <c r="AJ665" s="145"/>
      <c r="AK665" s="145"/>
      <c r="AL665" s="145"/>
      <c r="AM665" s="145"/>
      <c r="AN665" s="145"/>
      <c r="AO665" s="145"/>
      <c r="AP665" s="145"/>
      <c r="AQ665" s="145"/>
      <c r="AR665" s="145"/>
      <c r="AS665" s="145"/>
      <c r="AT665" s="146"/>
      <c r="AU665" s="146"/>
      <c r="AV665" s="145"/>
      <c r="AW665" s="145"/>
      <c r="AX665" s="145"/>
      <c r="AY665" s="145"/>
      <c r="AZ665" s="145"/>
      <c r="BA665" s="145"/>
      <c r="BB665" s="145"/>
      <c r="BC665" s="145"/>
      <c r="BD665" s="145"/>
    </row>
    <row r="666" spans="1:56" ht="18.75" customHeight="1" x14ac:dyDescent="0.55000000000000004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  <c r="AC666" s="145"/>
      <c r="AD666" s="145"/>
      <c r="AE666" s="145"/>
      <c r="AF666" s="145"/>
      <c r="AG666" s="145"/>
      <c r="AH666" s="145"/>
      <c r="AI666" s="145"/>
      <c r="AJ666" s="145"/>
      <c r="AK666" s="145"/>
      <c r="AL666" s="145"/>
      <c r="AM666" s="145"/>
      <c r="AN666" s="145"/>
      <c r="AO666" s="145"/>
      <c r="AP666" s="145"/>
      <c r="AQ666" s="145"/>
      <c r="AR666" s="145"/>
      <c r="AS666" s="145"/>
      <c r="AT666" s="146"/>
      <c r="AU666" s="146"/>
      <c r="AV666" s="145"/>
      <c r="AW666" s="145"/>
      <c r="AX666" s="145"/>
      <c r="AY666" s="145"/>
      <c r="AZ666" s="145"/>
      <c r="BA666" s="145"/>
      <c r="BB666" s="145"/>
      <c r="BC666" s="145"/>
      <c r="BD666" s="145"/>
    </row>
    <row r="667" spans="1:56" ht="18.75" customHeight="1" x14ac:dyDescent="0.55000000000000004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  <c r="AC667" s="145"/>
      <c r="AD667" s="145"/>
      <c r="AE667" s="145"/>
      <c r="AF667" s="145"/>
      <c r="AG667" s="145"/>
      <c r="AH667" s="145"/>
      <c r="AI667" s="145"/>
      <c r="AJ667" s="145"/>
      <c r="AK667" s="145"/>
      <c r="AL667" s="145"/>
      <c r="AM667" s="145"/>
      <c r="AN667" s="145"/>
      <c r="AO667" s="145"/>
      <c r="AP667" s="145"/>
      <c r="AQ667" s="145"/>
      <c r="AR667" s="145"/>
      <c r="AS667" s="145"/>
      <c r="AT667" s="146"/>
      <c r="AU667" s="146"/>
      <c r="AV667" s="145"/>
      <c r="AW667" s="145"/>
      <c r="AX667" s="145"/>
      <c r="AY667" s="145"/>
      <c r="AZ667" s="145"/>
      <c r="BA667" s="145"/>
      <c r="BB667" s="145"/>
      <c r="BC667" s="145"/>
      <c r="BD667" s="145"/>
    </row>
    <row r="668" spans="1:56" ht="18.75" customHeight="1" x14ac:dyDescent="0.55000000000000004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  <c r="AC668" s="145"/>
      <c r="AD668" s="145"/>
      <c r="AE668" s="145"/>
      <c r="AF668" s="145"/>
      <c r="AG668" s="145"/>
      <c r="AH668" s="145"/>
      <c r="AI668" s="145"/>
      <c r="AJ668" s="145"/>
      <c r="AK668" s="145"/>
      <c r="AL668" s="145"/>
      <c r="AM668" s="145"/>
      <c r="AN668" s="145"/>
      <c r="AO668" s="145"/>
      <c r="AP668" s="145"/>
      <c r="AQ668" s="145"/>
      <c r="AR668" s="145"/>
      <c r="AS668" s="145"/>
      <c r="AT668" s="146"/>
      <c r="AU668" s="146"/>
      <c r="AV668" s="145"/>
      <c r="AW668" s="145"/>
      <c r="AX668" s="145"/>
      <c r="AY668" s="145"/>
      <c r="AZ668" s="145"/>
      <c r="BA668" s="145"/>
      <c r="BB668" s="145"/>
      <c r="BC668" s="145"/>
      <c r="BD668" s="145"/>
    </row>
    <row r="669" spans="1:56" ht="18.75" customHeight="1" x14ac:dyDescent="0.55000000000000004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  <c r="AC669" s="145"/>
      <c r="AD669" s="145"/>
      <c r="AE669" s="145"/>
      <c r="AF669" s="145"/>
      <c r="AG669" s="145"/>
      <c r="AH669" s="145"/>
      <c r="AI669" s="145"/>
      <c r="AJ669" s="145"/>
      <c r="AK669" s="145"/>
      <c r="AL669" s="145"/>
      <c r="AM669" s="145"/>
      <c r="AN669" s="145"/>
      <c r="AO669" s="145"/>
      <c r="AP669" s="145"/>
      <c r="AQ669" s="145"/>
      <c r="AR669" s="145"/>
      <c r="AS669" s="145"/>
      <c r="AT669" s="146"/>
      <c r="AU669" s="146"/>
      <c r="AV669" s="145"/>
      <c r="AW669" s="145"/>
      <c r="AX669" s="145"/>
      <c r="AY669" s="145"/>
      <c r="AZ669" s="145"/>
      <c r="BA669" s="145"/>
      <c r="BB669" s="145"/>
      <c r="BC669" s="145"/>
      <c r="BD669" s="145"/>
    </row>
    <row r="670" spans="1:56" ht="18.75" customHeight="1" x14ac:dyDescent="0.55000000000000004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  <c r="AC670" s="145"/>
      <c r="AD670" s="145"/>
      <c r="AE670" s="145"/>
      <c r="AF670" s="145"/>
      <c r="AG670" s="145"/>
      <c r="AH670" s="145"/>
      <c r="AI670" s="145"/>
      <c r="AJ670" s="145"/>
      <c r="AK670" s="145"/>
      <c r="AL670" s="145"/>
      <c r="AM670" s="145"/>
      <c r="AN670" s="145"/>
      <c r="AO670" s="145"/>
      <c r="AP670" s="145"/>
      <c r="AQ670" s="145"/>
      <c r="AR670" s="145"/>
      <c r="AS670" s="145"/>
      <c r="AT670" s="146"/>
      <c r="AU670" s="146"/>
      <c r="AV670" s="145"/>
      <c r="AW670" s="145"/>
      <c r="AX670" s="145"/>
      <c r="AY670" s="145"/>
      <c r="AZ670" s="145"/>
      <c r="BA670" s="145"/>
      <c r="BB670" s="145"/>
      <c r="BC670" s="145"/>
      <c r="BD670" s="145"/>
    </row>
    <row r="671" spans="1:56" ht="18.75" customHeight="1" x14ac:dyDescent="0.55000000000000004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  <c r="AC671" s="145"/>
      <c r="AD671" s="145"/>
      <c r="AE671" s="145"/>
      <c r="AF671" s="145"/>
      <c r="AG671" s="145"/>
      <c r="AH671" s="145"/>
      <c r="AI671" s="145"/>
      <c r="AJ671" s="145"/>
      <c r="AK671" s="145"/>
      <c r="AL671" s="145"/>
      <c r="AM671" s="145"/>
      <c r="AN671" s="145"/>
      <c r="AO671" s="145"/>
      <c r="AP671" s="145"/>
      <c r="AQ671" s="145"/>
      <c r="AR671" s="145"/>
      <c r="AS671" s="145"/>
      <c r="AT671" s="146"/>
      <c r="AU671" s="146"/>
      <c r="AV671" s="145"/>
      <c r="AW671" s="145"/>
      <c r="AX671" s="145"/>
      <c r="AY671" s="145"/>
      <c r="AZ671" s="145"/>
      <c r="BA671" s="145"/>
      <c r="BB671" s="145"/>
      <c r="BC671" s="145"/>
      <c r="BD671" s="145"/>
    </row>
    <row r="672" spans="1:56" ht="18.75" customHeight="1" x14ac:dyDescent="0.55000000000000004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  <c r="AC672" s="145"/>
      <c r="AD672" s="145"/>
      <c r="AE672" s="145"/>
      <c r="AF672" s="145"/>
      <c r="AG672" s="145"/>
      <c r="AH672" s="145"/>
      <c r="AI672" s="145"/>
      <c r="AJ672" s="145"/>
      <c r="AK672" s="145"/>
      <c r="AL672" s="145"/>
      <c r="AM672" s="145"/>
      <c r="AN672" s="145"/>
      <c r="AO672" s="145"/>
      <c r="AP672" s="145"/>
      <c r="AQ672" s="145"/>
      <c r="AR672" s="145"/>
      <c r="AS672" s="145"/>
      <c r="AT672" s="146"/>
      <c r="AU672" s="146"/>
      <c r="AV672" s="145"/>
      <c r="AW672" s="145"/>
      <c r="AX672" s="145"/>
      <c r="AY672" s="145"/>
      <c r="AZ672" s="145"/>
      <c r="BA672" s="145"/>
      <c r="BB672" s="145"/>
      <c r="BC672" s="145"/>
      <c r="BD672" s="145"/>
    </row>
    <row r="673" spans="1:56" ht="18.75" customHeight="1" x14ac:dyDescent="0.55000000000000004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  <c r="AC673" s="145"/>
      <c r="AD673" s="145"/>
      <c r="AE673" s="145"/>
      <c r="AF673" s="145"/>
      <c r="AG673" s="145"/>
      <c r="AH673" s="145"/>
      <c r="AI673" s="145"/>
      <c r="AJ673" s="145"/>
      <c r="AK673" s="145"/>
      <c r="AL673" s="145"/>
      <c r="AM673" s="145"/>
      <c r="AN673" s="145"/>
      <c r="AO673" s="145"/>
      <c r="AP673" s="145"/>
      <c r="AQ673" s="145"/>
      <c r="AR673" s="145"/>
      <c r="AS673" s="145"/>
      <c r="AT673" s="146"/>
      <c r="AU673" s="146"/>
      <c r="AV673" s="145"/>
      <c r="AW673" s="145"/>
      <c r="AX673" s="145"/>
      <c r="AY673" s="145"/>
      <c r="AZ673" s="145"/>
      <c r="BA673" s="145"/>
      <c r="BB673" s="145"/>
      <c r="BC673" s="145"/>
      <c r="BD673" s="145"/>
    </row>
    <row r="674" spans="1:56" ht="18.75" customHeight="1" x14ac:dyDescent="0.55000000000000004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  <c r="AC674" s="145"/>
      <c r="AD674" s="145"/>
      <c r="AE674" s="145"/>
      <c r="AF674" s="145"/>
      <c r="AG674" s="145"/>
      <c r="AH674" s="145"/>
      <c r="AI674" s="145"/>
      <c r="AJ674" s="145"/>
      <c r="AK674" s="145"/>
      <c r="AL674" s="145"/>
      <c r="AM674" s="145"/>
      <c r="AN674" s="145"/>
      <c r="AO674" s="145"/>
      <c r="AP674" s="145"/>
      <c r="AQ674" s="145"/>
      <c r="AR674" s="145"/>
      <c r="AS674" s="145"/>
      <c r="AT674" s="146"/>
      <c r="AU674" s="146"/>
      <c r="AV674" s="145"/>
      <c r="AW674" s="145"/>
      <c r="AX674" s="145"/>
      <c r="AY674" s="145"/>
      <c r="AZ674" s="145"/>
      <c r="BA674" s="145"/>
      <c r="BB674" s="145"/>
      <c r="BC674" s="145"/>
      <c r="BD674" s="145"/>
    </row>
    <row r="675" spans="1:56" ht="18.75" customHeight="1" x14ac:dyDescent="0.55000000000000004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  <c r="AC675" s="145"/>
      <c r="AD675" s="145"/>
      <c r="AE675" s="145"/>
      <c r="AF675" s="145"/>
      <c r="AG675" s="145"/>
      <c r="AH675" s="145"/>
      <c r="AI675" s="145"/>
      <c r="AJ675" s="145"/>
      <c r="AK675" s="145"/>
      <c r="AL675" s="145"/>
      <c r="AM675" s="145"/>
      <c r="AN675" s="145"/>
      <c r="AO675" s="145"/>
      <c r="AP675" s="145"/>
      <c r="AQ675" s="145"/>
      <c r="AR675" s="145"/>
      <c r="AS675" s="145"/>
      <c r="AT675" s="146"/>
      <c r="AU675" s="146"/>
      <c r="AV675" s="145"/>
      <c r="AW675" s="145"/>
      <c r="AX675" s="145"/>
      <c r="AY675" s="145"/>
      <c r="AZ675" s="145"/>
      <c r="BA675" s="145"/>
      <c r="BB675" s="145"/>
      <c r="BC675" s="145"/>
      <c r="BD675" s="145"/>
    </row>
    <row r="676" spans="1:56" ht="18.75" customHeight="1" x14ac:dyDescent="0.55000000000000004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  <c r="AC676" s="145"/>
      <c r="AD676" s="145"/>
      <c r="AE676" s="145"/>
      <c r="AF676" s="145"/>
      <c r="AG676" s="145"/>
      <c r="AH676" s="145"/>
      <c r="AI676" s="145"/>
      <c r="AJ676" s="145"/>
      <c r="AK676" s="145"/>
      <c r="AL676" s="145"/>
      <c r="AM676" s="145"/>
      <c r="AN676" s="145"/>
      <c r="AO676" s="145"/>
      <c r="AP676" s="145"/>
      <c r="AQ676" s="145"/>
      <c r="AR676" s="145"/>
      <c r="AS676" s="145"/>
      <c r="AT676" s="146"/>
      <c r="AU676" s="146"/>
      <c r="AV676" s="145"/>
      <c r="AW676" s="145"/>
      <c r="AX676" s="145"/>
      <c r="AY676" s="145"/>
      <c r="AZ676" s="145"/>
      <c r="BA676" s="145"/>
      <c r="BB676" s="145"/>
      <c r="BC676" s="145"/>
      <c r="BD676" s="145"/>
    </row>
    <row r="677" spans="1:56" ht="18.75" customHeight="1" x14ac:dyDescent="0.55000000000000004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  <c r="AC677" s="145"/>
      <c r="AD677" s="145"/>
      <c r="AE677" s="145"/>
      <c r="AF677" s="145"/>
      <c r="AG677" s="145"/>
      <c r="AH677" s="145"/>
      <c r="AI677" s="145"/>
      <c r="AJ677" s="145"/>
      <c r="AK677" s="145"/>
      <c r="AL677" s="145"/>
      <c r="AM677" s="145"/>
      <c r="AN677" s="145"/>
      <c r="AO677" s="145"/>
      <c r="AP677" s="145"/>
      <c r="AQ677" s="145"/>
      <c r="AR677" s="145"/>
      <c r="AS677" s="145"/>
      <c r="AT677" s="146"/>
      <c r="AU677" s="146"/>
      <c r="AV677" s="145"/>
      <c r="AW677" s="145"/>
      <c r="AX677" s="145"/>
      <c r="AY677" s="145"/>
      <c r="AZ677" s="145"/>
      <c r="BA677" s="145"/>
      <c r="BB677" s="145"/>
      <c r="BC677" s="145"/>
      <c r="BD677" s="145"/>
    </row>
    <row r="678" spans="1:56" ht="18.75" customHeight="1" x14ac:dyDescent="0.55000000000000004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  <c r="AC678" s="145"/>
      <c r="AD678" s="145"/>
      <c r="AE678" s="145"/>
      <c r="AF678" s="145"/>
      <c r="AG678" s="145"/>
      <c r="AH678" s="145"/>
      <c r="AI678" s="145"/>
      <c r="AJ678" s="145"/>
      <c r="AK678" s="145"/>
      <c r="AL678" s="145"/>
      <c r="AM678" s="145"/>
      <c r="AN678" s="145"/>
      <c r="AO678" s="145"/>
      <c r="AP678" s="145"/>
      <c r="AQ678" s="145"/>
      <c r="AR678" s="145"/>
      <c r="AS678" s="145"/>
      <c r="AT678" s="146"/>
      <c r="AU678" s="146"/>
      <c r="AV678" s="145"/>
      <c r="AW678" s="145"/>
      <c r="AX678" s="145"/>
      <c r="AY678" s="145"/>
      <c r="AZ678" s="145"/>
      <c r="BA678" s="145"/>
      <c r="BB678" s="145"/>
      <c r="BC678" s="145"/>
      <c r="BD678" s="145"/>
    </row>
    <row r="679" spans="1:56" ht="18.75" customHeight="1" x14ac:dyDescent="0.55000000000000004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  <c r="AC679" s="145"/>
      <c r="AD679" s="145"/>
      <c r="AE679" s="145"/>
      <c r="AF679" s="145"/>
      <c r="AG679" s="145"/>
      <c r="AH679" s="145"/>
      <c r="AI679" s="145"/>
      <c r="AJ679" s="145"/>
      <c r="AK679" s="145"/>
      <c r="AL679" s="145"/>
      <c r="AM679" s="145"/>
      <c r="AN679" s="145"/>
      <c r="AO679" s="145"/>
      <c r="AP679" s="145"/>
      <c r="AQ679" s="145"/>
      <c r="AR679" s="145"/>
      <c r="AS679" s="145"/>
      <c r="AT679" s="146"/>
      <c r="AU679" s="146"/>
      <c r="AV679" s="145"/>
      <c r="AW679" s="145"/>
      <c r="AX679" s="145"/>
      <c r="AY679" s="145"/>
      <c r="AZ679" s="145"/>
      <c r="BA679" s="145"/>
      <c r="BB679" s="145"/>
      <c r="BC679" s="145"/>
      <c r="BD679" s="145"/>
    </row>
    <row r="680" spans="1:56" ht="18.75" customHeight="1" x14ac:dyDescent="0.55000000000000004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  <c r="AC680" s="145"/>
      <c r="AD680" s="145"/>
      <c r="AE680" s="145"/>
      <c r="AF680" s="145"/>
      <c r="AG680" s="145"/>
      <c r="AH680" s="145"/>
      <c r="AI680" s="145"/>
      <c r="AJ680" s="145"/>
      <c r="AK680" s="145"/>
      <c r="AL680" s="145"/>
      <c r="AM680" s="145"/>
      <c r="AN680" s="145"/>
      <c r="AO680" s="145"/>
      <c r="AP680" s="145"/>
      <c r="AQ680" s="145"/>
      <c r="AR680" s="145"/>
      <c r="AS680" s="145"/>
      <c r="AT680" s="146"/>
      <c r="AU680" s="146"/>
      <c r="AV680" s="145"/>
      <c r="AW680" s="145"/>
      <c r="AX680" s="145"/>
      <c r="AY680" s="145"/>
      <c r="AZ680" s="145"/>
      <c r="BA680" s="145"/>
      <c r="BB680" s="145"/>
      <c r="BC680" s="145"/>
      <c r="BD680" s="145"/>
    </row>
    <row r="681" spans="1:56" ht="18.75" customHeight="1" x14ac:dyDescent="0.55000000000000004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  <c r="AC681" s="145"/>
      <c r="AD681" s="145"/>
      <c r="AE681" s="145"/>
      <c r="AF681" s="145"/>
      <c r="AG681" s="145"/>
      <c r="AH681" s="145"/>
      <c r="AI681" s="145"/>
      <c r="AJ681" s="145"/>
      <c r="AK681" s="145"/>
      <c r="AL681" s="145"/>
      <c r="AM681" s="145"/>
      <c r="AN681" s="145"/>
      <c r="AO681" s="145"/>
      <c r="AP681" s="145"/>
      <c r="AQ681" s="145"/>
      <c r="AR681" s="145"/>
      <c r="AS681" s="145"/>
      <c r="AT681" s="146"/>
      <c r="AU681" s="146"/>
      <c r="AV681" s="145"/>
      <c r="AW681" s="145"/>
      <c r="AX681" s="145"/>
      <c r="AY681" s="145"/>
      <c r="AZ681" s="145"/>
      <c r="BA681" s="145"/>
      <c r="BB681" s="145"/>
      <c r="BC681" s="145"/>
      <c r="BD681" s="145"/>
    </row>
    <row r="682" spans="1:56" ht="18.75" customHeight="1" x14ac:dyDescent="0.55000000000000004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  <c r="AC682" s="145"/>
      <c r="AD682" s="145"/>
      <c r="AE682" s="145"/>
      <c r="AF682" s="145"/>
      <c r="AG682" s="145"/>
      <c r="AH682" s="145"/>
      <c r="AI682" s="145"/>
      <c r="AJ682" s="145"/>
      <c r="AK682" s="145"/>
      <c r="AL682" s="145"/>
      <c r="AM682" s="145"/>
      <c r="AN682" s="145"/>
      <c r="AO682" s="145"/>
      <c r="AP682" s="145"/>
      <c r="AQ682" s="145"/>
      <c r="AR682" s="145"/>
      <c r="AS682" s="145"/>
      <c r="AT682" s="146"/>
      <c r="AU682" s="146"/>
      <c r="AV682" s="145"/>
      <c r="AW682" s="145"/>
      <c r="AX682" s="145"/>
      <c r="AY682" s="145"/>
      <c r="AZ682" s="145"/>
      <c r="BA682" s="145"/>
      <c r="BB682" s="145"/>
      <c r="BC682" s="145"/>
      <c r="BD682" s="145"/>
    </row>
    <row r="683" spans="1:56" ht="18.75" customHeight="1" x14ac:dyDescent="0.55000000000000004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  <c r="AC683" s="145"/>
      <c r="AD683" s="145"/>
      <c r="AE683" s="145"/>
      <c r="AF683" s="145"/>
      <c r="AG683" s="145"/>
      <c r="AH683" s="145"/>
      <c r="AI683" s="145"/>
      <c r="AJ683" s="145"/>
      <c r="AK683" s="145"/>
      <c r="AL683" s="145"/>
      <c r="AM683" s="145"/>
      <c r="AN683" s="145"/>
      <c r="AO683" s="145"/>
      <c r="AP683" s="145"/>
      <c r="AQ683" s="145"/>
      <c r="AR683" s="145"/>
      <c r="AS683" s="145"/>
      <c r="AT683" s="146"/>
      <c r="AU683" s="146"/>
      <c r="AV683" s="145"/>
      <c r="AW683" s="145"/>
      <c r="AX683" s="145"/>
      <c r="AY683" s="145"/>
      <c r="AZ683" s="145"/>
      <c r="BA683" s="145"/>
      <c r="BB683" s="145"/>
      <c r="BC683" s="145"/>
      <c r="BD683" s="145"/>
    </row>
    <row r="684" spans="1:56" ht="18.75" customHeight="1" x14ac:dyDescent="0.55000000000000004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  <c r="AC684" s="145"/>
      <c r="AD684" s="145"/>
      <c r="AE684" s="145"/>
      <c r="AF684" s="145"/>
      <c r="AG684" s="145"/>
      <c r="AH684" s="145"/>
      <c r="AI684" s="145"/>
      <c r="AJ684" s="145"/>
      <c r="AK684" s="145"/>
      <c r="AL684" s="145"/>
      <c r="AM684" s="145"/>
      <c r="AN684" s="145"/>
      <c r="AO684" s="145"/>
      <c r="AP684" s="145"/>
      <c r="AQ684" s="145"/>
      <c r="AR684" s="145"/>
      <c r="AS684" s="145"/>
      <c r="AT684" s="146"/>
      <c r="AU684" s="146"/>
      <c r="AV684" s="145"/>
      <c r="AW684" s="145"/>
      <c r="AX684" s="145"/>
      <c r="AY684" s="145"/>
      <c r="AZ684" s="145"/>
      <c r="BA684" s="145"/>
      <c r="BB684" s="145"/>
      <c r="BC684" s="145"/>
      <c r="BD684" s="145"/>
    </row>
    <row r="685" spans="1:56" ht="18.75" customHeight="1" x14ac:dyDescent="0.55000000000000004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  <c r="AC685" s="145"/>
      <c r="AD685" s="145"/>
      <c r="AE685" s="145"/>
      <c r="AF685" s="145"/>
      <c r="AG685" s="145"/>
      <c r="AH685" s="145"/>
      <c r="AI685" s="145"/>
      <c r="AJ685" s="145"/>
      <c r="AK685" s="145"/>
      <c r="AL685" s="145"/>
      <c r="AM685" s="145"/>
      <c r="AN685" s="145"/>
      <c r="AO685" s="145"/>
      <c r="AP685" s="145"/>
      <c r="AQ685" s="145"/>
      <c r="AR685" s="145"/>
      <c r="AS685" s="145"/>
      <c r="AT685" s="146"/>
      <c r="AU685" s="146"/>
      <c r="AV685" s="145"/>
      <c r="AW685" s="145"/>
      <c r="AX685" s="145"/>
      <c r="AY685" s="145"/>
      <c r="AZ685" s="145"/>
      <c r="BA685" s="145"/>
      <c r="BB685" s="145"/>
      <c r="BC685" s="145"/>
      <c r="BD685" s="145"/>
    </row>
    <row r="686" spans="1:56" ht="18.75" customHeight="1" x14ac:dyDescent="0.55000000000000004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  <c r="AC686" s="145"/>
      <c r="AD686" s="145"/>
      <c r="AE686" s="145"/>
      <c r="AF686" s="145"/>
      <c r="AG686" s="145"/>
      <c r="AH686" s="145"/>
      <c r="AI686" s="145"/>
      <c r="AJ686" s="145"/>
      <c r="AK686" s="145"/>
      <c r="AL686" s="145"/>
      <c r="AM686" s="145"/>
      <c r="AN686" s="145"/>
      <c r="AO686" s="145"/>
      <c r="AP686" s="145"/>
      <c r="AQ686" s="145"/>
      <c r="AR686" s="145"/>
      <c r="AS686" s="145"/>
      <c r="AT686" s="146"/>
      <c r="AU686" s="146"/>
      <c r="AV686" s="145"/>
      <c r="AW686" s="145"/>
      <c r="AX686" s="145"/>
      <c r="AY686" s="145"/>
      <c r="AZ686" s="145"/>
      <c r="BA686" s="145"/>
      <c r="BB686" s="145"/>
      <c r="BC686" s="145"/>
      <c r="BD686" s="145"/>
    </row>
    <row r="687" spans="1:56" ht="18.75" customHeight="1" x14ac:dyDescent="0.55000000000000004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  <c r="AC687" s="145"/>
      <c r="AD687" s="145"/>
      <c r="AE687" s="145"/>
      <c r="AF687" s="145"/>
      <c r="AG687" s="145"/>
      <c r="AH687" s="145"/>
      <c r="AI687" s="145"/>
      <c r="AJ687" s="145"/>
      <c r="AK687" s="145"/>
      <c r="AL687" s="145"/>
      <c r="AM687" s="145"/>
      <c r="AN687" s="145"/>
      <c r="AO687" s="145"/>
      <c r="AP687" s="145"/>
      <c r="AQ687" s="145"/>
      <c r="AR687" s="145"/>
      <c r="AS687" s="145"/>
      <c r="AT687" s="146"/>
      <c r="AU687" s="146"/>
      <c r="AV687" s="145"/>
      <c r="AW687" s="145"/>
      <c r="AX687" s="145"/>
      <c r="AY687" s="145"/>
      <c r="AZ687" s="145"/>
      <c r="BA687" s="145"/>
      <c r="BB687" s="145"/>
      <c r="BC687" s="145"/>
      <c r="BD687" s="145"/>
    </row>
    <row r="688" spans="1:56" ht="18.75" customHeight="1" x14ac:dyDescent="0.55000000000000004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  <c r="AC688" s="145"/>
      <c r="AD688" s="145"/>
      <c r="AE688" s="145"/>
      <c r="AF688" s="145"/>
      <c r="AG688" s="145"/>
      <c r="AH688" s="145"/>
      <c r="AI688" s="145"/>
      <c r="AJ688" s="145"/>
      <c r="AK688" s="145"/>
      <c r="AL688" s="145"/>
      <c r="AM688" s="145"/>
      <c r="AN688" s="145"/>
      <c r="AO688" s="145"/>
      <c r="AP688" s="145"/>
      <c r="AQ688" s="145"/>
      <c r="AR688" s="145"/>
      <c r="AS688" s="145"/>
      <c r="AT688" s="146"/>
      <c r="AU688" s="146"/>
      <c r="AV688" s="145"/>
      <c r="AW688" s="145"/>
      <c r="AX688" s="145"/>
      <c r="AY688" s="145"/>
      <c r="AZ688" s="145"/>
      <c r="BA688" s="145"/>
      <c r="BB688" s="145"/>
      <c r="BC688" s="145"/>
      <c r="BD688" s="145"/>
    </row>
    <row r="689" spans="1:56" ht="18.75" customHeight="1" x14ac:dyDescent="0.55000000000000004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  <c r="AC689" s="145"/>
      <c r="AD689" s="145"/>
      <c r="AE689" s="145"/>
      <c r="AF689" s="145"/>
      <c r="AG689" s="145"/>
      <c r="AH689" s="145"/>
      <c r="AI689" s="145"/>
      <c r="AJ689" s="145"/>
      <c r="AK689" s="145"/>
      <c r="AL689" s="145"/>
      <c r="AM689" s="145"/>
      <c r="AN689" s="145"/>
      <c r="AO689" s="145"/>
      <c r="AP689" s="145"/>
      <c r="AQ689" s="145"/>
      <c r="AR689" s="145"/>
      <c r="AS689" s="145"/>
      <c r="AT689" s="146"/>
      <c r="AU689" s="146"/>
      <c r="AV689" s="145"/>
      <c r="AW689" s="145"/>
      <c r="AX689" s="145"/>
      <c r="AY689" s="145"/>
      <c r="AZ689" s="145"/>
      <c r="BA689" s="145"/>
      <c r="BB689" s="145"/>
      <c r="BC689" s="145"/>
      <c r="BD689" s="145"/>
    </row>
    <row r="690" spans="1:56" ht="18.75" customHeight="1" x14ac:dyDescent="0.55000000000000004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  <c r="AC690" s="145"/>
      <c r="AD690" s="145"/>
      <c r="AE690" s="145"/>
      <c r="AF690" s="145"/>
      <c r="AG690" s="145"/>
      <c r="AH690" s="145"/>
      <c r="AI690" s="145"/>
      <c r="AJ690" s="145"/>
      <c r="AK690" s="145"/>
      <c r="AL690" s="145"/>
      <c r="AM690" s="145"/>
      <c r="AN690" s="145"/>
      <c r="AO690" s="145"/>
      <c r="AP690" s="145"/>
      <c r="AQ690" s="145"/>
      <c r="AR690" s="145"/>
      <c r="AS690" s="145"/>
      <c r="AT690" s="146"/>
      <c r="AU690" s="146"/>
      <c r="AV690" s="145"/>
      <c r="AW690" s="145"/>
      <c r="AX690" s="145"/>
      <c r="AY690" s="145"/>
      <c r="AZ690" s="145"/>
      <c r="BA690" s="145"/>
      <c r="BB690" s="145"/>
      <c r="BC690" s="145"/>
      <c r="BD690" s="145"/>
    </row>
    <row r="691" spans="1:56" ht="18.75" customHeight="1" x14ac:dyDescent="0.55000000000000004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  <c r="AC691" s="145"/>
      <c r="AD691" s="145"/>
      <c r="AE691" s="145"/>
      <c r="AF691" s="145"/>
      <c r="AG691" s="145"/>
      <c r="AH691" s="145"/>
      <c r="AI691" s="145"/>
      <c r="AJ691" s="145"/>
      <c r="AK691" s="145"/>
      <c r="AL691" s="145"/>
      <c r="AM691" s="145"/>
      <c r="AN691" s="145"/>
      <c r="AO691" s="145"/>
      <c r="AP691" s="145"/>
      <c r="AQ691" s="145"/>
      <c r="AR691" s="145"/>
      <c r="AS691" s="145"/>
      <c r="AT691" s="146"/>
      <c r="AU691" s="146"/>
      <c r="AV691" s="145"/>
      <c r="AW691" s="145"/>
      <c r="AX691" s="145"/>
      <c r="AY691" s="145"/>
      <c r="AZ691" s="145"/>
      <c r="BA691" s="145"/>
      <c r="BB691" s="145"/>
      <c r="BC691" s="145"/>
      <c r="BD691" s="145"/>
    </row>
    <row r="692" spans="1:56" ht="18.75" customHeight="1" x14ac:dyDescent="0.55000000000000004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  <c r="AC692" s="145"/>
      <c r="AD692" s="145"/>
      <c r="AE692" s="145"/>
      <c r="AF692" s="145"/>
      <c r="AG692" s="145"/>
      <c r="AH692" s="145"/>
      <c r="AI692" s="145"/>
      <c r="AJ692" s="145"/>
      <c r="AK692" s="145"/>
      <c r="AL692" s="145"/>
      <c r="AM692" s="145"/>
      <c r="AN692" s="145"/>
      <c r="AO692" s="145"/>
      <c r="AP692" s="145"/>
      <c r="AQ692" s="145"/>
      <c r="AR692" s="145"/>
      <c r="AS692" s="145"/>
      <c r="AT692" s="146"/>
      <c r="AU692" s="146"/>
      <c r="AV692" s="145"/>
      <c r="AW692" s="145"/>
      <c r="AX692" s="145"/>
      <c r="AY692" s="145"/>
      <c r="AZ692" s="145"/>
      <c r="BA692" s="145"/>
      <c r="BB692" s="145"/>
      <c r="BC692" s="145"/>
      <c r="BD692" s="145"/>
    </row>
    <row r="693" spans="1:56" ht="18.75" customHeight="1" x14ac:dyDescent="0.55000000000000004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  <c r="AC693" s="145"/>
      <c r="AD693" s="145"/>
      <c r="AE693" s="145"/>
      <c r="AF693" s="145"/>
      <c r="AG693" s="145"/>
      <c r="AH693" s="145"/>
      <c r="AI693" s="145"/>
      <c r="AJ693" s="145"/>
      <c r="AK693" s="145"/>
      <c r="AL693" s="145"/>
      <c r="AM693" s="145"/>
      <c r="AN693" s="145"/>
      <c r="AO693" s="145"/>
      <c r="AP693" s="145"/>
      <c r="AQ693" s="145"/>
      <c r="AR693" s="145"/>
      <c r="AS693" s="145"/>
      <c r="AT693" s="146"/>
      <c r="AU693" s="146"/>
      <c r="AV693" s="145"/>
      <c r="AW693" s="145"/>
      <c r="AX693" s="145"/>
      <c r="AY693" s="145"/>
      <c r="AZ693" s="145"/>
      <c r="BA693" s="145"/>
      <c r="BB693" s="145"/>
      <c r="BC693" s="145"/>
      <c r="BD693" s="145"/>
    </row>
    <row r="694" spans="1:56" ht="18.75" customHeight="1" x14ac:dyDescent="0.55000000000000004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  <c r="AC694" s="145"/>
      <c r="AD694" s="145"/>
      <c r="AE694" s="145"/>
      <c r="AF694" s="145"/>
      <c r="AG694" s="145"/>
      <c r="AH694" s="145"/>
      <c r="AI694" s="145"/>
      <c r="AJ694" s="145"/>
      <c r="AK694" s="145"/>
      <c r="AL694" s="145"/>
      <c r="AM694" s="145"/>
      <c r="AN694" s="145"/>
      <c r="AO694" s="145"/>
      <c r="AP694" s="145"/>
      <c r="AQ694" s="145"/>
      <c r="AR694" s="145"/>
      <c r="AS694" s="145"/>
      <c r="AT694" s="146"/>
      <c r="AU694" s="146"/>
      <c r="AV694" s="145"/>
      <c r="AW694" s="145"/>
      <c r="AX694" s="145"/>
      <c r="AY694" s="145"/>
      <c r="AZ694" s="145"/>
      <c r="BA694" s="145"/>
      <c r="BB694" s="145"/>
      <c r="BC694" s="145"/>
      <c r="BD694" s="145"/>
    </row>
    <row r="695" spans="1:56" ht="18.75" customHeight="1" x14ac:dyDescent="0.55000000000000004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  <c r="AC695" s="145"/>
      <c r="AD695" s="145"/>
      <c r="AE695" s="145"/>
      <c r="AF695" s="145"/>
      <c r="AG695" s="145"/>
      <c r="AH695" s="145"/>
      <c r="AI695" s="145"/>
      <c r="AJ695" s="145"/>
      <c r="AK695" s="145"/>
      <c r="AL695" s="145"/>
      <c r="AM695" s="145"/>
      <c r="AN695" s="145"/>
      <c r="AO695" s="145"/>
      <c r="AP695" s="145"/>
      <c r="AQ695" s="145"/>
      <c r="AR695" s="145"/>
      <c r="AS695" s="145"/>
      <c r="AT695" s="146"/>
      <c r="AU695" s="146"/>
      <c r="AV695" s="145"/>
      <c r="AW695" s="145"/>
      <c r="AX695" s="145"/>
      <c r="AY695" s="145"/>
      <c r="AZ695" s="145"/>
      <c r="BA695" s="145"/>
      <c r="BB695" s="145"/>
      <c r="BC695" s="145"/>
      <c r="BD695" s="145"/>
    </row>
    <row r="696" spans="1:56" ht="18.75" customHeight="1" x14ac:dyDescent="0.55000000000000004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  <c r="AC696" s="145"/>
      <c r="AD696" s="145"/>
      <c r="AE696" s="145"/>
      <c r="AF696" s="145"/>
      <c r="AG696" s="145"/>
      <c r="AH696" s="145"/>
      <c r="AI696" s="145"/>
      <c r="AJ696" s="145"/>
      <c r="AK696" s="145"/>
      <c r="AL696" s="145"/>
      <c r="AM696" s="145"/>
      <c r="AN696" s="145"/>
      <c r="AO696" s="145"/>
      <c r="AP696" s="145"/>
      <c r="AQ696" s="145"/>
      <c r="AR696" s="145"/>
      <c r="AS696" s="145"/>
      <c r="AT696" s="146"/>
      <c r="AU696" s="146"/>
      <c r="AV696" s="145"/>
      <c r="AW696" s="145"/>
      <c r="AX696" s="145"/>
      <c r="AY696" s="145"/>
      <c r="AZ696" s="145"/>
      <c r="BA696" s="145"/>
      <c r="BB696" s="145"/>
      <c r="BC696" s="145"/>
      <c r="BD696" s="145"/>
    </row>
    <row r="697" spans="1:56" ht="18.75" customHeight="1" x14ac:dyDescent="0.55000000000000004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  <c r="AC697" s="145"/>
      <c r="AD697" s="145"/>
      <c r="AE697" s="145"/>
      <c r="AF697" s="145"/>
      <c r="AG697" s="145"/>
      <c r="AH697" s="145"/>
      <c r="AI697" s="145"/>
      <c r="AJ697" s="145"/>
      <c r="AK697" s="145"/>
      <c r="AL697" s="145"/>
      <c r="AM697" s="145"/>
      <c r="AN697" s="145"/>
      <c r="AO697" s="145"/>
      <c r="AP697" s="145"/>
      <c r="AQ697" s="145"/>
      <c r="AR697" s="145"/>
      <c r="AS697" s="145"/>
      <c r="AT697" s="146"/>
      <c r="AU697" s="146"/>
      <c r="AV697" s="145"/>
      <c r="AW697" s="145"/>
      <c r="AX697" s="145"/>
      <c r="AY697" s="145"/>
      <c r="AZ697" s="145"/>
      <c r="BA697" s="145"/>
      <c r="BB697" s="145"/>
      <c r="BC697" s="145"/>
      <c r="BD697" s="145"/>
    </row>
    <row r="698" spans="1:56" ht="18.75" customHeight="1" x14ac:dyDescent="0.55000000000000004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  <c r="AC698" s="145"/>
      <c r="AD698" s="145"/>
      <c r="AE698" s="145"/>
      <c r="AF698" s="145"/>
      <c r="AG698" s="145"/>
      <c r="AH698" s="145"/>
      <c r="AI698" s="145"/>
      <c r="AJ698" s="145"/>
      <c r="AK698" s="145"/>
      <c r="AL698" s="145"/>
      <c r="AM698" s="145"/>
      <c r="AN698" s="145"/>
      <c r="AO698" s="145"/>
      <c r="AP698" s="145"/>
      <c r="AQ698" s="145"/>
      <c r="AR698" s="145"/>
      <c r="AS698" s="145"/>
      <c r="AT698" s="146"/>
      <c r="AU698" s="146"/>
      <c r="AV698" s="145"/>
      <c r="AW698" s="145"/>
      <c r="AX698" s="145"/>
      <c r="AY698" s="145"/>
      <c r="AZ698" s="145"/>
      <c r="BA698" s="145"/>
      <c r="BB698" s="145"/>
      <c r="BC698" s="145"/>
      <c r="BD698" s="145"/>
    </row>
    <row r="699" spans="1:56" ht="18.75" customHeight="1" x14ac:dyDescent="0.55000000000000004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  <c r="AC699" s="145"/>
      <c r="AD699" s="145"/>
      <c r="AE699" s="145"/>
      <c r="AF699" s="145"/>
      <c r="AG699" s="145"/>
      <c r="AH699" s="145"/>
      <c r="AI699" s="145"/>
      <c r="AJ699" s="145"/>
      <c r="AK699" s="145"/>
      <c r="AL699" s="145"/>
      <c r="AM699" s="145"/>
      <c r="AN699" s="145"/>
      <c r="AO699" s="145"/>
      <c r="AP699" s="145"/>
      <c r="AQ699" s="145"/>
      <c r="AR699" s="145"/>
      <c r="AS699" s="145"/>
      <c r="AT699" s="146"/>
      <c r="AU699" s="146"/>
      <c r="AV699" s="145"/>
      <c r="AW699" s="145"/>
      <c r="AX699" s="145"/>
      <c r="AY699" s="145"/>
      <c r="AZ699" s="145"/>
      <c r="BA699" s="145"/>
      <c r="BB699" s="145"/>
      <c r="BC699" s="145"/>
      <c r="BD699" s="145"/>
    </row>
    <row r="700" spans="1:56" ht="18.75" customHeight="1" x14ac:dyDescent="0.55000000000000004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  <c r="AC700" s="145"/>
      <c r="AD700" s="145"/>
      <c r="AE700" s="145"/>
      <c r="AF700" s="145"/>
      <c r="AG700" s="145"/>
      <c r="AH700" s="145"/>
      <c r="AI700" s="145"/>
      <c r="AJ700" s="145"/>
      <c r="AK700" s="145"/>
      <c r="AL700" s="145"/>
      <c r="AM700" s="145"/>
      <c r="AN700" s="145"/>
      <c r="AO700" s="145"/>
      <c r="AP700" s="145"/>
      <c r="AQ700" s="145"/>
      <c r="AR700" s="145"/>
      <c r="AS700" s="145"/>
      <c r="AT700" s="146"/>
      <c r="AU700" s="146"/>
      <c r="AV700" s="145"/>
      <c r="AW700" s="145"/>
      <c r="AX700" s="145"/>
      <c r="AY700" s="145"/>
      <c r="AZ700" s="145"/>
      <c r="BA700" s="145"/>
      <c r="BB700" s="145"/>
      <c r="BC700" s="145"/>
      <c r="BD700" s="145"/>
    </row>
    <row r="701" spans="1:56" ht="18.75" customHeight="1" x14ac:dyDescent="0.55000000000000004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  <c r="AC701" s="145"/>
      <c r="AD701" s="145"/>
      <c r="AE701" s="145"/>
      <c r="AF701" s="145"/>
      <c r="AG701" s="145"/>
      <c r="AH701" s="145"/>
      <c r="AI701" s="145"/>
      <c r="AJ701" s="145"/>
      <c r="AK701" s="145"/>
      <c r="AL701" s="145"/>
      <c r="AM701" s="145"/>
      <c r="AN701" s="145"/>
      <c r="AO701" s="145"/>
      <c r="AP701" s="145"/>
      <c r="AQ701" s="145"/>
      <c r="AR701" s="145"/>
      <c r="AS701" s="145"/>
      <c r="AT701" s="146"/>
      <c r="AU701" s="146"/>
      <c r="AV701" s="145"/>
      <c r="AW701" s="145"/>
      <c r="AX701" s="145"/>
      <c r="AY701" s="145"/>
      <c r="AZ701" s="145"/>
      <c r="BA701" s="145"/>
      <c r="BB701" s="145"/>
      <c r="BC701" s="145"/>
      <c r="BD701" s="145"/>
    </row>
    <row r="702" spans="1:56" ht="18.75" customHeight="1" x14ac:dyDescent="0.55000000000000004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  <c r="AC702" s="145"/>
      <c r="AD702" s="145"/>
      <c r="AE702" s="145"/>
      <c r="AF702" s="145"/>
      <c r="AG702" s="145"/>
      <c r="AH702" s="145"/>
      <c r="AI702" s="145"/>
      <c r="AJ702" s="145"/>
      <c r="AK702" s="145"/>
      <c r="AL702" s="145"/>
      <c r="AM702" s="145"/>
      <c r="AN702" s="145"/>
      <c r="AO702" s="145"/>
      <c r="AP702" s="145"/>
      <c r="AQ702" s="145"/>
      <c r="AR702" s="145"/>
      <c r="AS702" s="145"/>
      <c r="AT702" s="146"/>
      <c r="AU702" s="146"/>
      <c r="AV702" s="145"/>
      <c r="AW702" s="145"/>
      <c r="AX702" s="145"/>
      <c r="AY702" s="145"/>
      <c r="AZ702" s="145"/>
      <c r="BA702" s="145"/>
      <c r="BB702" s="145"/>
      <c r="BC702" s="145"/>
      <c r="BD702" s="145"/>
    </row>
    <row r="703" spans="1:56" ht="18.75" customHeight="1" x14ac:dyDescent="0.55000000000000004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  <c r="AC703" s="145"/>
      <c r="AD703" s="145"/>
      <c r="AE703" s="145"/>
      <c r="AF703" s="145"/>
      <c r="AG703" s="145"/>
      <c r="AH703" s="145"/>
      <c r="AI703" s="145"/>
      <c r="AJ703" s="145"/>
      <c r="AK703" s="145"/>
      <c r="AL703" s="145"/>
      <c r="AM703" s="145"/>
      <c r="AN703" s="145"/>
      <c r="AO703" s="145"/>
      <c r="AP703" s="145"/>
      <c r="AQ703" s="145"/>
      <c r="AR703" s="145"/>
      <c r="AS703" s="145"/>
      <c r="AT703" s="146"/>
      <c r="AU703" s="146"/>
      <c r="AV703" s="145"/>
      <c r="AW703" s="145"/>
      <c r="AX703" s="145"/>
      <c r="AY703" s="145"/>
      <c r="AZ703" s="145"/>
      <c r="BA703" s="145"/>
      <c r="BB703" s="145"/>
      <c r="BC703" s="145"/>
      <c r="BD703" s="145"/>
    </row>
    <row r="704" spans="1:56" ht="18.75" customHeight="1" x14ac:dyDescent="0.55000000000000004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  <c r="AC704" s="145"/>
      <c r="AD704" s="145"/>
      <c r="AE704" s="145"/>
      <c r="AF704" s="145"/>
      <c r="AG704" s="145"/>
      <c r="AH704" s="145"/>
      <c r="AI704" s="145"/>
      <c r="AJ704" s="145"/>
      <c r="AK704" s="145"/>
      <c r="AL704" s="145"/>
      <c r="AM704" s="145"/>
      <c r="AN704" s="145"/>
      <c r="AO704" s="145"/>
      <c r="AP704" s="145"/>
      <c r="AQ704" s="145"/>
      <c r="AR704" s="145"/>
      <c r="AS704" s="145"/>
      <c r="AT704" s="146"/>
      <c r="AU704" s="146"/>
      <c r="AV704" s="145"/>
      <c r="AW704" s="145"/>
      <c r="AX704" s="145"/>
      <c r="AY704" s="145"/>
      <c r="AZ704" s="145"/>
      <c r="BA704" s="145"/>
      <c r="BB704" s="145"/>
      <c r="BC704" s="145"/>
      <c r="BD704" s="145"/>
    </row>
    <row r="705" spans="1:56" ht="18.75" customHeight="1" x14ac:dyDescent="0.55000000000000004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  <c r="AC705" s="145"/>
      <c r="AD705" s="145"/>
      <c r="AE705" s="145"/>
      <c r="AF705" s="145"/>
      <c r="AG705" s="145"/>
      <c r="AH705" s="145"/>
      <c r="AI705" s="145"/>
      <c r="AJ705" s="145"/>
      <c r="AK705" s="145"/>
      <c r="AL705" s="145"/>
      <c r="AM705" s="145"/>
      <c r="AN705" s="145"/>
      <c r="AO705" s="145"/>
      <c r="AP705" s="145"/>
      <c r="AQ705" s="145"/>
      <c r="AR705" s="145"/>
      <c r="AS705" s="145"/>
      <c r="AT705" s="146"/>
      <c r="AU705" s="146"/>
      <c r="AV705" s="145"/>
      <c r="AW705" s="145"/>
      <c r="AX705" s="145"/>
      <c r="AY705" s="145"/>
      <c r="AZ705" s="145"/>
      <c r="BA705" s="145"/>
      <c r="BB705" s="145"/>
      <c r="BC705" s="145"/>
      <c r="BD705" s="145"/>
    </row>
    <row r="706" spans="1:56" ht="18.75" customHeight="1" x14ac:dyDescent="0.55000000000000004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  <c r="AC706" s="145"/>
      <c r="AD706" s="145"/>
      <c r="AE706" s="145"/>
      <c r="AF706" s="145"/>
      <c r="AG706" s="145"/>
      <c r="AH706" s="145"/>
      <c r="AI706" s="145"/>
      <c r="AJ706" s="145"/>
      <c r="AK706" s="145"/>
      <c r="AL706" s="145"/>
      <c r="AM706" s="145"/>
      <c r="AN706" s="145"/>
      <c r="AO706" s="145"/>
      <c r="AP706" s="145"/>
      <c r="AQ706" s="145"/>
      <c r="AR706" s="145"/>
      <c r="AS706" s="145"/>
      <c r="AT706" s="146"/>
      <c r="AU706" s="146"/>
      <c r="AV706" s="145"/>
      <c r="AW706" s="145"/>
      <c r="AX706" s="145"/>
      <c r="AY706" s="145"/>
      <c r="AZ706" s="145"/>
      <c r="BA706" s="145"/>
      <c r="BB706" s="145"/>
      <c r="BC706" s="145"/>
      <c r="BD706" s="145"/>
    </row>
    <row r="707" spans="1:56" ht="18.75" customHeight="1" x14ac:dyDescent="0.55000000000000004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  <c r="AC707" s="145"/>
      <c r="AD707" s="145"/>
      <c r="AE707" s="145"/>
      <c r="AF707" s="145"/>
      <c r="AG707" s="145"/>
      <c r="AH707" s="145"/>
      <c r="AI707" s="145"/>
      <c r="AJ707" s="145"/>
      <c r="AK707" s="145"/>
      <c r="AL707" s="145"/>
      <c r="AM707" s="145"/>
      <c r="AN707" s="145"/>
      <c r="AO707" s="145"/>
      <c r="AP707" s="145"/>
      <c r="AQ707" s="145"/>
      <c r="AR707" s="145"/>
      <c r="AS707" s="145"/>
      <c r="AT707" s="146"/>
      <c r="AU707" s="146"/>
      <c r="AV707" s="145"/>
      <c r="AW707" s="145"/>
      <c r="AX707" s="145"/>
      <c r="AY707" s="145"/>
      <c r="AZ707" s="145"/>
      <c r="BA707" s="145"/>
      <c r="BB707" s="145"/>
      <c r="BC707" s="145"/>
      <c r="BD707" s="145"/>
    </row>
    <row r="708" spans="1:56" ht="18.75" customHeight="1" x14ac:dyDescent="0.55000000000000004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  <c r="AC708" s="145"/>
      <c r="AD708" s="145"/>
      <c r="AE708" s="145"/>
      <c r="AF708" s="145"/>
      <c r="AG708" s="145"/>
      <c r="AH708" s="145"/>
      <c r="AI708" s="145"/>
      <c r="AJ708" s="145"/>
      <c r="AK708" s="145"/>
      <c r="AL708" s="145"/>
      <c r="AM708" s="145"/>
      <c r="AN708" s="145"/>
      <c r="AO708" s="145"/>
      <c r="AP708" s="145"/>
      <c r="AQ708" s="145"/>
      <c r="AR708" s="145"/>
      <c r="AS708" s="145"/>
      <c r="AT708" s="146"/>
      <c r="AU708" s="146"/>
      <c r="AV708" s="145"/>
      <c r="AW708" s="145"/>
      <c r="AX708" s="145"/>
      <c r="AY708" s="145"/>
      <c r="AZ708" s="145"/>
      <c r="BA708" s="145"/>
      <c r="BB708" s="145"/>
      <c r="BC708" s="145"/>
      <c r="BD708" s="145"/>
    </row>
    <row r="709" spans="1:56" ht="18.75" customHeight="1" x14ac:dyDescent="0.55000000000000004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  <c r="AC709" s="145"/>
      <c r="AD709" s="145"/>
      <c r="AE709" s="145"/>
      <c r="AF709" s="145"/>
      <c r="AG709" s="145"/>
      <c r="AH709" s="145"/>
      <c r="AI709" s="145"/>
      <c r="AJ709" s="145"/>
      <c r="AK709" s="145"/>
      <c r="AL709" s="145"/>
      <c r="AM709" s="145"/>
      <c r="AN709" s="145"/>
      <c r="AO709" s="145"/>
      <c r="AP709" s="145"/>
      <c r="AQ709" s="145"/>
      <c r="AR709" s="145"/>
      <c r="AS709" s="145"/>
      <c r="AT709" s="146"/>
      <c r="AU709" s="146"/>
      <c r="AV709" s="145"/>
      <c r="AW709" s="145"/>
      <c r="AX709" s="145"/>
      <c r="AY709" s="145"/>
      <c r="AZ709" s="145"/>
      <c r="BA709" s="145"/>
      <c r="BB709" s="145"/>
      <c r="BC709" s="145"/>
      <c r="BD709" s="145"/>
    </row>
    <row r="710" spans="1:56" ht="18.75" customHeight="1" x14ac:dyDescent="0.55000000000000004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  <c r="AC710" s="145"/>
      <c r="AD710" s="145"/>
      <c r="AE710" s="145"/>
      <c r="AF710" s="145"/>
      <c r="AG710" s="145"/>
      <c r="AH710" s="145"/>
      <c r="AI710" s="145"/>
      <c r="AJ710" s="145"/>
      <c r="AK710" s="145"/>
      <c r="AL710" s="145"/>
      <c r="AM710" s="145"/>
      <c r="AN710" s="145"/>
      <c r="AO710" s="145"/>
      <c r="AP710" s="145"/>
      <c r="AQ710" s="145"/>
      <c r="AR710" s="145"/>
      <c r="AS710" s="145"/>
      <c r="AT710" s="146"/>
      <c r="AU710" s="146"/>
      <c r="AV710" s="145"/>
      <c r="AW710" s="145"/>
      <c r="AX710" s="145"/>
      <c r="AY710" s="145"/>
      <c r="AZ710" s="145"/>
      <c r="BA710" s="145"/>
      <c r="BB710" s="145"/>
      <c r="BC710" s="145"/>
      <c r="BD710" s="145"/>
    </row>
    <row r="711" spans="1:56" ht="18.75" customHeight="1" x14ac:dyDescent="0.55000000000000004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  <c r="AC711" s="145"/>
      <c r="AD711" s="145"/>
      <c r="AE711" s="145"/>
      <c r="AF711" s="145"/>
      <c r="AG711" s="145"/>
      <c r="AH711" s="145"/>
      <c r="AI711" s="145"/>
      <c r="AJ711" s="145"/>
      <c r="AK711" s="145"/>
      <c r="AL711" s="145"/>
      <c r="AM711" s="145"/>
      <c r="AN711" s="145"/>
      <c r="AO711" s="145"/>
      <c r="AP711" s="145"/>
      <c r="AQ711" s="145"/>
      <c r="AR711" s="145"/>
      <c r="AS711" s="145"/>
      <c r="AT711" s="146"/>
      <c r="AU711" s="146"/>
      <c r="AV711" s="145"/>
      <c r="AW711" s="145"/>
      <c r="AX711" s="145"/>
      <c r="AY711" s="145"/>
      <c r="AZ711" s="145"/>
      <c r="BA711" s="145"/>
      <c r="BB711" s="145"/>
      <c r="BC711" s="145"/>
      <c r="BD711" s="145"/>
    </row>
    <row r="712" spans="1:56" ht="18.75" customHeight="1" x14ac:dyDescent="0.55000000000000004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  <c r="AC712" s="145"/>
      <c r="AD712" s="145"/>
      <c r="AE712" s="145"/>
      <c r="AF712" s="145"/>
      <c r="AG712" s="145"/>
      <c r="AH712" s="145"/>
      <c r="AI712" s="145"/>
      <c r="AJ712" s="145"/>
      <c r="AK712" s="145"/>
      <c r="AL712" s="145"/>
      <c r="AM712" s="145"/>
      <c r="AN712" s="145"/>
      <c r="AO712" s="145"/>
      <c r="AP712" s="145"/>
      <c r="AQ712" s="145"/>
      <c r="AR712" s="145"/>
      <c r="AS712" s="145"/>
      <c r="AT712" s="146"/>
      <c r="AU712" s="146"/>
      <c r="AV712" s="145"/>
      <c r="AW712" s="145"/>
      <c r="AX712" s="145"/>
      <c r="AY712" s="145"/>
      <c r="AZ712" s="145"/>
      <c r="BA712" s="145"/>
      <c r="BB712" s="145"/>
      <c r="BC712" s="145"/>
      <c r="BD712" s="145"/>
    </row>
    <row r="713" spans="1:56" ht="18.75" customHeight="1" x14ac:dyDescent="0.55000000000000004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  <c r="AC713" s="145"/>
      <c r="AD713" s="145"/>
      <c r="AE713" s="145"/>
      <c r="AF713" s="145"/>
      <c r="AG713" s="145"/>
      <c r="AH713" s="145"/>
      <c r="AI713" s="145"/>
      <c r="AJ713" s="145"/>
      <c r="AK713" s="145"/>
      <c r="AL713" s="145"/>
      <c r="AM713" s="145"/>
      <c r="AN713" s="145"/>
      <c r="AO713" s="145"/>
      <c r="AP713" s="145"/>
      <c r="AQ713" s="145"/>
      <c r="AR713" s="145"/>
      <c r="AS713" s="145"/>
      <c r="AT713" s="146"/>
      <c r="AU713" s="146"/>
      <c r="AV713" s="145"/>
      <c r="AW713" s="145"/>
      <c r="AX713" s="145"/>
      <c r="AY713" s="145"/>
      <c r="AZ713" s="145"/>
      <c r="BA713" s="145"/>
      <c r="BB713" s="145"/>
      <c r="BC713" s="145"/>
      <c r="BD713" s="145"/>
    </row>
    <row r="714" spans="1:56" ht="18.75" customHeight="1" x14ac:dyDescent="0.55000000000000004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  <c r="AC714" s="145"/>
      <c r="AD714" s="145"/>
      <c r="AE714" s="145"/>
      <c r="AF714" s="145"/>
      <c r="AG714" s="145"/>
      <c r="AH714" s="145"/>
      <c r="AI714" s="145"/>
      <c r="AJ714" s="145"/>
      <c r="AK714" s="145"/>
      <c r="AL714" s="145"/>
      <c r="AM714" s="145"/>
      <c r="AN714" s="145"/>
      <c r="AO714" s="145"/>
      <c r="AP714" s="145"/>
      <c r="AQ714" s="145"/>
      <c r="AR714" s="145"/>
      <c r="AS714" s="145"/>
      <c r="AT714" s="146"/>
      <c r="AU714" s="146"/>
      <c r="AV714" s="145"/>
      <c r="AW714" s="145"/>
      <c r="AX714" s="145"/>
      <c r="AY714" s="145"/>
      <c r="AZ714" s="145"/>
      <c r="BA714" s="145"/>
      <c r="BB714" s="145"/>
      <c r="BC714" s="145"/>
      <c r="BD714" s="145"/>
    </row>
    <row r="715" spans="1:56" ht="18.75" customHeight="1" x14ac:dyDescent="0.55000000000000004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  <c r="AC715" s="145"/>
      <c r="AD715" s="145"/>
      <c r="AE715" s="145"/>
      <c r="AF715" s="145"/>
      <c r="AG715" s="145"/>
      <c r="AH715" s="145"/>
      <c r="AI715" s="145"/>
      <c r="AJ715" s="145"/>
      <c r="AK715" s="145"/>
      <c r="AL715" s="145"/>
      <c r="AM715" s="145"/>
      <c r="AN715" s="145"/>
      <c r="AO715" s="145"/>
      <c r="AP715" s="145"/>
      <c r="AQ715" s="145"/>
      <c r="AR715" s="145"/>
      <c r="AS715" s="145"/>
      <c r="AT715" s="146"/>
      <c r="AU715" s="146"/>
      <c r="AV715" s="145"/>
      <c r="AW715" s="145"/>
      <c r="AX715" s="145"/>
      <c r="AY715" s="145"/>
      <c r="AZ715" s="145"/>
      <c r="BA715" s="145"/>
      <c r="BB715" s="145"/>
      <c r="BC715" s="145"/>
      <c r="BD715" s="145"/>
    </row>
    <row r="716" spans="1:56" ht="18.75" customHeight="1" x14ac:dyDescent="0.55000000000000004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  <c r="AC716" s="145"/>
      <c r="AD716" s="145"/>
      <c r="AE716" s="145"/>
      <c r="AF716" s="145"/>
      <c r="AG716" s="145"/>
      <c r="AH716" s="145"/>
      <c r="AI716" s="145"/>
      <c r="AJ716" s="145"/>
      <c r="AK716" s="145"/>
      <c r="AL716" s="145"/>
      <c r="AM716" s="145"/>
      <c r="AN716" s="145"/>
      <c r="AO716" s="145"/>
      <c r="AP716" s="145"/>
      <c r="AQ716" s="145"/>
      <c r="AR716" s="145"/>
      <c r="AS716" s="145"/>
      <c r="AT716" s="146"/>
      <c r="AU716" s="146"/>
      <c r="AV716" s="145"/>
      <c r="AW716" s="145"/>
      <c r="AX716" s="145"/>
      <c r="AY716" s="145"/>
      <c r="AZ716" s="145"/>
      <c r="BA716" s="145"/>
      <c r="BB716" s="145"/>
      <c r="BC716" s="145"/>
      <c r="BD716" s="145"/>
    </row>
    <row r="717" spans="1:56" ht="18.75" customHeight="1" x14ac:dyDescent="0.55000000000000004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  <c r="AC717" s="145"/>
      <c r="AD717" s="145"/>
      <c r="AE717" s="145"/>
      <c r="AF717" s="145"/>
      <c r="AG717" s="145"/>
      <c r="AH717" s="145"/>
      <c r="AI717" s="145"/>
      <c r="AJ717" s="145"/>
      <c r="AK717" s="145"/>
      <c r="AL717" s="145"/>
      <c r="AM717" s="145"/>
      <c r="AN717" s="145"/>
      <c r="AO717" s="145"/>
      <c r="AP717" s="145"/>
      <c r="AQ717" s="145"/>
      <c r="AR717" s="145"/>
      <c r="AS717" s="145"/>
      <c r="AT717" s="146"/>
      <c r="AU717" s="146"/>
      <c r="AV717" s="145"/>
      <c r="AW717" s="145"/>
      <c r="AX717" s="145"/>
      <c r="AY717" s="145"/>
      <c r="AZ717" s="145"/>
      <c r="BA717" s="145"/>
      <c r="BB717" s="145"/>
      <c r="BC717" s="145"/>
      <c r="BD717" s="145"/>
    </row>
    <row r="718" spans="1:56" ht="18.75" customHeight="1" x14ac:dyDescent="0.55000000000000004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  <c r="AC718" s="145"/>
      <c r="AD718" s="145"/>
      <c r="AE718" s="145"/>
      <c r="AF718" s="145"/>
      <c r="AG718" s="145"/>
      <c r="AH718" s="145"/>
      <c r="AI718" s="145"/>
      <c r="AJ718" s="145"/>
      <c r="AK718" s="145"/>
      <c r="AL718" s="145"/>
      <c r="AM718" s="145"/>
      <c r="AN718" s="145"/>
      <c r="AO718" s="145"/>
      <c r="AP718" s="145"/>
      <c r="AQ718" s="145"/>
      <c r="AR718" s="145"/>
      <c r="AS718" s="145"/>
      <c r="AT718" s="146"/>
      <c r="AU718" s="146"/>
      <c r="AV718" s="145"/>
      <c r="AW718" s="145"/>
      <c r="AX718" s="145"/>
      <c r="AY718" s="145"/>
      <c r="AZ718" s="145"/>
      <c r="BA718" s="145"/>
      <c r="BB718" s="145"/>
      <c r="BC718" s="145"/>
      <c r="BD718" s="145"/>
    </row>
    <row r="719" spans="1:56" ht="18.75" customHeight="1" x14ac:dyDescent="0.55000000000000004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  <c r="AC719" s="145"/>
      <c r="AD719" s="145"/>
      <c r="AE719" s="145"/>
      <c r="AF719" s="145"/>
      <c r="AG719" s="145"/>
      <c r="AH719" s="145"/>
      <c r="AI719" s="145"/>
      <c r="AJ719" s="145"/>
      <c r="AK719" s="145"/>
      <c r="AL719" s="145"/>
      <c r="AM719" s="145"/>
      <c r="AN719" s="145"/>
      <c r="AO719" s="145"/>
      <c r="AP719" s="145"/>
      <c r="AQ719" s="145"/>
      <c r="AR719" s="145"/>
      <c r="AS719" s="145"/>
      <c r="AT719" s="146"/>
      <c r="AU719" s="146"/>
      <c r="AV719" s="145"/>
      <c r="AW719" s="145"/>
      <c r="AX719" s="145"/>
      <c r="AY719" s="145"/>
      <c r="AZ719" s="145"/>
      <c r="BA719" s="145"/>
      <c r="BB719" s="145"/>
      <c r="BC719" s="145"/>
      <c r="BD719" s="145"/>
    </row>
    <row r="720" spans="1:56" ht="18.75" customHeight="1" x14ac:dyDescent="0.55000000000000004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  <c r="AC720" s="145"/>
      <c r="AD720" s="145"/>
      <c r="AE720" s="145"/>
      <c r="AF720" s="145"/>
      <c r="AG720" s="145"/>
      <c r="AH720" s="145"/>
      <c r="AI720" s="145"/>
      <c r="AJ720" s="145"/>
      <c r="AK720" s="145"/>
      <c r="AL720" s="145"/>
      <c r="AM720" s="145"/>
      <c r="AN720" s="145"/>
      <c r="AO720" s="145"/>
      <c r="AP720" s="145"/>
      <c r="AQ720" s="145"/>
      <c r="AR720" s="145"/>
      <c r="AS720" s="145"/>
      <c r="AT720" s="146"/>
      <c r="AU720" s="146"/>
      <c r="AV720" s="145"/>
      <c r="AW720" s="145"/>
      <c r="AX720" s="145"/>
      <c r="AY720" s="145"/>
      <c r="AZ720" s="145"/>
      <c r="BA720" s="145"/>
      <c r="BB720" s="145"/>
      <c r="BC720" s="145"/>
      <c r="BD720" s="145"/>
    </row>
    <row r="721" spans="1:56" ht="18.75" customHeight="1" x14ac:dyDescent="0.55000000000000004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  <c r="AC721" s="145"/>
      <c r="AD721" s="145"/>
      <c r="AE721" s="145"/>
      <c r="AF721" s="145"/>
      <c r="AG721" s="145"/>
      <c r="AH721" s="145"/>
      <c r="AI721" s="145"/>
      <c r="AJ721" s="145"/>
      <c r="AK721" s="145"/>
      <c r="AL721" s="145"/>
      <c r="AM721" s="145"/>
      <c r="AN721" s="145"/>
      <c r="AO721" s="145"/>
      <c r="AP721" s="145"/>
      <c r="AQ721" s="145"/>
      <c r="AR721" s="145"/>
      <c r="AS721" s="145"/>
      <c r="AT721" s="146"/>
      <c r="AU721" s="146"/>
      <c r="AV721" s="145"/>
      <c r="AW721" s="145"/>
      <c r="AX721" s="145"/>
      <c r="AY721" s="145"/>
      <c r="AZ721" s="145"/>
      <c r="BA721" s="145"/>
      <c r="BB721" s="145"/>
      <c r="BC721" s="145"/>
      <c r="BD721" s="145"/>
    </row>
    <row r="722" spans="1:56" ht="18.75" customHeight="1" x14ac:dyDescent="0.55000000000000004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  <c r="AC722" s="145"/>
      <c r="AD722" s="145"/>
      <c r="AE722" s="145"/>
      <c r="AF722" s="145"/>
      <c r="AG722" s="145"/>
      <c r="AH722" s="145"/>
      <c r="AI722" s="145"/>
      <c r="AJ722" s="145"/>
      <c r="AK722" s="145"/>
      <c r="AL722" s="145"/>
      <c r="AM722" s="145"/>
      <c r="AN722" s="145"/>
      <c r="AO722" s="145"/>
      <c r="AP722" s="145"/>
      <c r="AQ722" s="145"/>
      <c r="AR722" s="145"/>
      <c r="AS722" s="145"/>
      <c r="AT722" s="146"/>
      <c r="AU722" s="146"/>
      <c r="AV722" s="145"/>
      <c r="AW722" s="145"/>
      <c r="AX722" s="145"/>
      <c r="AY722" s="145"/>
      <c r="AZ722" s="145"/>
      <c r="BA722" s="145"/>
      <c r="BB722" s="145"/>
      <c r="BC722" s="145"/>
      <c r="BD722" s="145"/>
    </row>
    <row r="723" spans="1:56" ht="18.75" customHeight="1" x14ac:dyDescent="0.55000000000000004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  <c r="AC723" s="145"/>
      <c r="AD723" s="145"/>
      <c r="AE723" s="145"/>
      <c r="AF723" s="145"/>
      <c r="AG723" s="145"/>
      <c r="AH723" s="145"/>
      <c r="AI723" s="145"/>
      <c r="AJ723" s="145"/>
      <c r="AK723" s="145"/>
      <c r="AL723" s="145"/>
      <c r="AM723" s="145"/>
      <c r="AN723" s="145"/>
      <c r="AO723" s="145"/>
      <c r="AP723" s="145"/>
      <c r="AQ723" s="145"/>
      <c r="AR723" s="145"/>
      <c r="AS723" s="145"/>
      <c r="AT723" s="146"/>
      <c r="AU723" s="146"/>
      <c r="AV723" s="145"/>
      <c r="AW723" s="145"/>
      <c r="AX723" s="145"/>
      <c r="AY723" s="145"/>
      <c r="AZ723" s="145"/>
      <c r="BA723" s="145"/>
      <c r="BB723" s="145"/>
      <c r="BC723" s="145"/>
      <c r="BD723" s="145"/>
    </row>
    <row r="724" spans="1:56" ht="18.75" customHeight="1" x14ac:dyDescent="0.55000000000000004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  <c r="AC724" s="145"/>
      <c r="AD724" s="145"/>
      <c r="AE724" s="145"/>
      <c r="AF724" s="145"/>
      <c r="AG724" s="145"/>
      <c r="AH724" s="145"/>
      <c r="AI724" s="145"/>
      <c r="AJ724" s="145"/>
      <c r="AK724" s="145"/>
      <c r="AL724" s="145"/>
      <c r="AM724" s="145"/>
      <c r="AN724" s="145"/>
      <c r="AO724" s="145"/>
      <c r="AP724" s="145"/>
      <c r="AQ724" s="145"/>
      <c r="AR724" s="145"/>
      <c r="AS724" s="145"/>
      <c r="AT724" s="146"/>
      <c r="AU724" s="146"/>
      <c r="AV724" s="145"/>
      <c r="AW724" s="145"/>
      <c r="AX724" s="145"/>
      <c r="AY724" s="145"/>
      <c r="AZ724" s="145"/>
      <c r="BA724" s="145"/>
      <c r="BB724" s="145"/>
      <c r="BC724" s="145"/>
      <c r="BD724" s="145"/>
    </row>
    <row r="725" spans="1:56" ht="18.75" customHeight="1" x14ac:dyDescent="0.55000000000000004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  <c r="AC725" s="145"/>
      <c r="AD725" s="145"/>
      <c r="AE725" s="145"/>
      <c r="AF725" s="145"/>
      <c r="AG725" s="145"/>
      <c r="AH725" s="145"/>
      <c r="AI725" s="145"/>
      <c r="AJ725" s="145"/>
      <c r="AK725" s="145"/>
      <c r="AL725" s="145"/>
      <c r="AM725" s="145"/>
      <c r="AN725" s="145"/>
      <c r="AO725" s="145"/>
      <c r="AP725" s="145"/>
      <c r="AQ725" s="145"/>
      <c r="AR725" s="145"/>
      <c r="AS725" s="145"/>
      <c r="AT725" s="146"/>
      <c r="AU725" s="146"/>
      <c r="AV725" s="145"/>
      <c r="AW725" s="145"/>
      <c r="AX725" s="145"/>
      <c r="AY725" s="145"/>
      <c r="AZ725" s="145"/>
      <c r="BA725" s="145"/>
      <c r="BB725" s="145"/>
      <c r="BC725" s="145"/>
      <c r="BD725" s="145"/>
    </row>
    <row r="726" spans="1:56" ht="18.75" customHeight="1" x14ac:dyDescent="0.55000000000000004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  <c r="AC726" s="145"/>
      <c r="AD726" s="145"/>
      <c r="AE726" s="145"/>
      <c r="AF726" s="145"/>
      <c r="AG726" s="145"/>
      <c r="AH726" s="145"/>
      <c r="AI726" s="145"/>
      <c r="AJ726" s="145"/>
      <c r="AK726" s="145"/>
      <c r="AL726" s="145"/>
      <c r="AM726" s="145"/>
      <c r="AN726" s="145"/>
      <c r="AO726" s="145"/>
      <c r="AP726" s="145"/>
      <c r="AQ726" s="145"/>
      <c r="AR726" s="145"/>
      <c r="AS726" s="145"/>
      <c r="AT726" s="146"/>
      <c r="AU726" s="146"/>
      <c r="AV726" s="145"/>
      <c r="AW726" s="145"/>
      <c r="AX726" s="145"/>
      <c r="AY726" s="145"/>
      <c r="AZ726" s="145"/>
      <c r="BA726" s="145"/>
      <c r="BB726" s="145"/>
      <c r="BC726" s="145"/>
      <c r="BD726" s="145"/>
    </row>
    <row r="727" spans="1:56" ht="18.75" customHeight="1" x14ac:dyDescent="0.55000000000000004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  <c r="AC727" s="145"/>
      <c r="AD727" s="145"/>
      <c r="AE727" s="145"/>
      <c r="AF727" s="145"/>
      <c r="AG727" s="145"/>
      <c r="AH727" s="145"/>
      <c r="AI727" s="145"/>
      <c r="AJ727" s="145"/>
      <c r="AK727" s="145"/>
      <c r="AL727" s="145"/>
      <c r="AM727" s="145"/>
      <c r="AN727" s="145"/>
      <c r="AO727" s="145"/>
      <c r="AP727" s="145"/>
      <c r="AQ727" s="145"/>
      <c r="AR727" s="145"/>
      <c r="AS727" s="145"/>
      <c r="AT727" s="146"/>
      <c r="AU727" s="146"/>
      <c r="AV727" s="145"/>
      <c r="AW727" s="145"/>
      <c r="AX727" s="145"/>
      <c r="AY727" s="145"/>
      <c r="AZ727" s="145"/>
      <c r="BA727" s="145"/>
      <c r="BB727" s="145"/>
      <c r="BC727" s="145"/>
      <c r="BD727" s="145"/>
    </row>
    <row r="728" spans="1:56" ht="18.75" customHeight="1" x14ac:dyDescent="0.55000000000000004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  <c r="AC728" s="145"/>
      <c r="AD728" s="145"/>
      <c r="AE728" s="145"/>
      <c r="AF728" s="145"/>
      <c r="AG728" s="145"/>
      <c r="AH728" s="145"/>
      <c r="AI728" s="145"/>
      <c r="AJ728" s="145"/>
      <c r="AK728" s="145"/>
      <c r="AL728" s="145"/>
      <c r="AM728" s="145"/>
      <c r="AN728" s="145"/>
      <c r="AO728" s="145"/>
      <c r="AP728" s="145"/>
      <c r="AQ728" s="145"/>
      <c r="AR728" s="145"/>
      <c r="AS728" s="145"/>
      <c r="AT728" s="146"/>
      <c r="AU728" s="146"/>
      <c r="AV728" s="145"/>
      <c r="AW728" s="145"/>
      <c r="AX728" s="145"/>
      <c r="AY728" s="145"/>
      <c r="AZ728" s="145"/>
      <c r="BA728" s="145"/>
      <c r="BB728" s="145"/>
      <c r="BC728" s="145"/>
      <c r="BD728" s="145"/>
    </row>
    <row r="729" spans="1:56" ht="18.75" customHeight="1" x14ac:dyDescent="0.55000000000000004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  <c r="AC729" s="145"/>
      <c r="AD729" s="145"/>
      <c r="AE729" s="145"/>
      <c r="AF729" s="145"/>
      <c r="AG729" s="145"/>
      <c r="AH729" s="145"/>
      <c r="AI729" s="145"/>
      <c r="AJ729" s="145"/>
      <c r="AK729" s="145"/>
      <c r="AL729" s="145"/>
      <c r="AM729" s="145"/>
      <c r="AN729" s="145"/>
      <c r="AO729" s="145"/>
      <c r="AP729" s="145"/>
      <c r="AQ729" s="145"/>
      <c r="AR729" s="145"/>
      <c r="AS729" s="145"/>
      <c r="AT729" s="146"/>
      <c r="AU729" s="146"/>
      <c r="AV729" s="145"/>
      <c r="AW729" s="145"/>
      <c r="AX729" s="145"/>
      <c r="AY729" s="145"/>
      <c r="AZ729" s="145"/>
      <c r="BA729" s="145"/>
      <c r="BB729" s="145"/>
      <c r="BC729" s="145"/>
      <c r="BD729" s="145"/>
    </row>
    <row r="730" spans="1:56" ht="18.75" customHeight="1" x14ac:dyDescent="0.55000000000000004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  <c r="AC730" s="145"/>
      <c r="AD730" s="145"/>
      <c r="AE730" s="145"/>
      <c r="AF730" s="145"/>
      <c r="AG730" s="145"/>
      <c r="AH730" s="145"/>
      <c r="AI730" s="145"/>
      <c r="AJ730" s="145"/>
      <c r="AK730" s="145"/>
      <c r="AL730" s="145"/>
      <c r="AM730" s="145"/>
      <c r="AN730" s="145"/>
      <c r="AO730" s="145"/>
      <c r="AP730" s="145"/>
      <c r="AQ730" s="145"/>
      <c r="AR730" s="145"/>
      <c r="AS730" s="145"/>
      <c r="AT730" s="146"/>
      <c r="AU730" s="146"/>
      <c r="AV730" s="145"/>
      <c r="AW730" s="145"/>
      <c r="AX730" s="145"/>
      <c r="AY730" s="145"/>
      <c r="AZ730" s="145"/>
      <c r="BA730" s="145"/>
      <c r="BB730" s="145"/>
      <c r="BC730" s="145"/>
      <c r="BD730" s="145"/>
    </row>
    <row r="731" spans="1:56" ht="18.75" customHeight="1" x14ac:dyDescent="0.55000000000000004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  <c r="AC731" s="145"/>
      <c r="AD731" s="145"/>
      <c r="AE731" s="145"/>
      <c r="AF731" s="145"/>
      <c r="AG731" s="145"/>
      <c r="AH731" s="145"/>
      <c r="AI731" s="145"/>
      <c r="AJ731" s="145"/>
      <c r="AK731" s="145"/>
      <c r="AL731" s="145"/>
      <c r="AM731" s="145"/>
      <c r="AN731" s="145"/>
      <c r="AO731" s="145"/>
      <c r="AP731" s="145"/>
      <c r="AQ731" s="145"/>
      <c r="AR731" s="145"/>
      <c r="AS731" s="145"/>
      <c r="AT731" s="146"/>
      <c r="AU731" s="146"/>
      <c r="AV731" s="145"/>
      <c r="AW731" s="145"/>
      <c r="AX731" s="145"/>
      <c r="AY731" s="145"/>
      <c r="AZ731" s="145"/>
      <c r="BA731" s="145"/>
      <c r="BB731" s="145"/>
      <c r="BC731" s="145"/>
      <c r="BD731" s="145"/>
    </row>
    <row r="732" spans="1:56" ht="18.75" customHeight="1" x14ac:dyDescent="0.55000000000000004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  <c r="AC732" s="145"/>
      <c r="AD732" s="145"/>
      <c r="AE732" s="145"/>
      <c r="AF732" s="145"/>
      <c r="AG732" s="145"/>
      <c r="AH732" s="145"/>
      <c r="AI732" s="145"/>
      <c r="AJ732" s="145"/>
      <c r="AK732" s="145"/>
      <c r="AL732" s="145"/>
      <c r="AM732" s="145"/>
      <c r="AN732" s="145"/>
      <c r="AO732" s="145"/>
      <c r="AP732" s="145"/>
      <c r="AQ732" s="145"/>
      <c r="AR732" s="145"/>
      <c r="AS732" s="145"/>
      <c r="AT732" s="146"/>
      <c r="AU732" s="146"/>
      <c r="AV732" s="145"/>
      <c r="AW732" s="145"/>
      <c r="AX732" s="145"/>
      <c r="AY732" s="145"/>
      <c r="AZ732" s="145"/>
      <c r="BA732" s="145"/>
      <c r="BB732" s="145"/>
      <c r="BC732" s="145"/>
      <c r="BD732" s="145"/>
    </row>
    <row r="733" spans="1:56" ht="18.75" customHeight="1" x14ac:dyDescent="0.55000000000000004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  <c r="AC733" s="145"/>
      <c r="AD733" s="145"/>
      <c r="AE733" s="145"/>
      <c r="AF733" s="145"/>
      <c r="AG733" s="145"/>
      <c r="AH733" s="145"/>
      <c r="AI733" s="145"/>
      <c r="AJ733" s="145"/>
      <c r="AK733" s="145"/>
      <c r="AL733" s="145"/>
      <c r="AM733" s="145"/>
      <c r="AN733" s="145"/>
      <c r="AO733" s="145"/>
      <c r="AP733" s="145"/>
      <c r="AQ733" s="145"/>
      <c r="AR733" s="145"/>
      <c r="AS733" s="145"/>
      <c r="AT733" s="146"/>
      <c r="AU733" s="146"/>
      <c r="AV733" s="145"/>
      <c r="AW733" s="145"/>
      <c r="AX733" s="145"/>
      <c r="AY733" s="145"/>
      <c r="AZ733" s="145"/>
      <c r="BA733" s="145"/>
      <c r="BB733" s="145"/>
      <c r="BC733" s="145"/>
      <c r="BD733" s="145"/>
    </row>
    <row r="734" spans="1:56" ht="18.75" customHeight="1" x14ac:dyDescent="0.55000000000000004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  <c r="AC734" s="145"/>
      <c r="AD734" s="145"/>
      <c r="AE734" s="145"/>
      <c r="AF734" s="145"/>
      <c r="AG734" s="145"/>
      <c r="AH734" s="145"/>
      <c r="AI734" s="145"/>
      <c r="AJ734" s="145"/>
      <c r="AK734" s="145"/>
      <c r="AL734" s="145"/>
      <c r="AM734" s="145"/>
      <c r="AN734" s="145"/>
      <c r="AO734" s="145"/>
      <c r="AP734" s="145"/>
      <c r="AQ734" s="145"/>
      <c r="AR734" s="145"/>
      <c r="AS734" s="145"/>
      <c r="AT734" s="146"/>
      <c r="AU734" s="146"/>
      <c r="AV734" s="145"/>
      <c r="AW734" s="145"/>
      <c r="AX734" s="145"/>
      <c r="AY734" s="145"/>
      <c r="AZ734" s="145"/>
      <c r="BA734" s="145"/>
      <c r="BB734" s="145"/>
      <c r="BC734" s="145"/>
      <c r="BD734" s="145"/>
    </row>
    <row r="735" spans="1:56" ht="18.75" customHeight="1" x14ac:dyDescent="0.55000000000000004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  <c r="AC735" s="145"/>
      <c r="AD735" s="145"/>
      <c r="AE735" s="145"/>
      <c r="AF735" s="145"/>
      <c r="AG735" s="145"/>
      <c r="AH735" s="145"/>
      <c r="AI735" s="145"/>
      <c r="AJ735" s="145"/>
      <c r="AK735" s="145"/>
      <c r="AL735" s="145"/>
      <c r="AM735" s="145"/>
      <c r="AN735" s="145"/>
      <c r="AO735" s="145"/>
      <c r="AP735" s="145"/>
      <c r="AQ735" s="145"/>
      <c r="AR735" s="145"/>
      <c r="AS735" s="145"/>
      <c r="AT735" s="146"/>
      <c r="AU735" s="146"/>
      <c r="AV735" s="145"/>
      <c r="AW735" s="145"/>
      <c r="AX735" s="145"/>
      <c r="AY735" s="145"/>
      <c r="AZ735" s="145"/>
      <c r="BA735" s="145"/>
      <c r="BB735" s="145"/>
      <c r="BC735" s="145"/>
      <c r="BD735" s="145"/>
    </row>
    <row r="736" spans="1:56" ht="18.75" customHeight="1" x14ac:dyDescent="0.55000000000000004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  <c r="AC736" s="145"/>
      <c r="AD736" s="145"/>
      <c r="AE736" s="145"/>
      <c r="AF736" s="145"/>
      <c r="AG736" s="145"/>
      <c r="AH736" s="145"/>
      <c r="AI736" s="145"/>
      <c r="AJ736" s="145"/>
      <c r="AK736" s="145"/>
      <c r="AL736" s="145"/>
      <c r="AM736" s="145"/>
      <c r="AN736" s="145"/>
      <c r="AO736" s="145"/>
      <c r="AP736" s="145"/>
      <c r="AQ736" s="145"/>
      <c r="AR736" s="145"/>
      <c r="AS736" s="145"/>
      <c r="AT736" s="146"/>
      <c r="AU736" s="146"/>
      <c r="AV736" s="145"/>
      <c r="AW736" s="145"/>
      <c r="AX736" s="145"/>
      <c r="AY736" s="145"/>
      <c r="AZ736" s="145"/>
      <c r="BA736" s="145"/>
      <c r="BB736" s="145"/>
      <c r="BC736" s="145"/>
      <c r="BD736" s="145"/>
    </row>
    <row r="737" spans="1:56" ht="18.75" customHeight="1" x14ac:dyDescent="0.55000000000000004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  <c r="AC737" s="145"/>
      <c r="AD737" s="145"/>
      <c r="AE737" s="145"/>
      <c r="AF737" s="145"/>
      <c r="AG737" s="145"/>
      <c r="AH737" s="145"/>
      <c r="AI737" s="145"/>
      <c r="AJ737" s="145"/>
      <c r="AK737" s="145"/>
      <c r="AL737" s="145"/>
      <c r="AM737" s="145"/>
      <c r="AN737" s="145"/>
      <c r="AO737" s="145"/>
      <c r="AP737" s="145"/>
      <c r="AQ737" s="145"/>
      <c r="AR737" s="145"/>
      <c r="AS737" s="145"/>
      <c r="AT737" s="146"/>
      <c r="AU737" s="146"/>
      <c r="AV737" s="145"/>
      <c r="AW737" s="145"/>
      <c r="AX737" s="145"/>
      <c r="AY737" s="145"/>
      <c r="AZ737" s="145"/>
      <c r="BA737" s="145"/>
      <c r="BB737" s="145"/>
      <c r="BC737" s="145"/>
      <c r="BD737" s="145"/>
    </row>
    <row r="738" spans="1:56" ht="18.75" customHeight="1" x14ac:dyDescent="0.55000000000000004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  <c r="AC738" s="145"/>
      <c r="AD738" s="145"/>
      <c r="AE738" s="145"/>
      <c r="AF738" s="145"/>
      <c r="AG738" s="145"/>
      <c r="AH738" s="145"/>
      <c r="AI738" s="145"/>
      <c r="AJ738" s="145"/>
      <c r="AK738" s="145"/>
      <c r="AL738" s="145"/>
      <c r="AM738" s="145"/>
      <c r="AN738" s="145"/>
      <c r="AO738" s="145"/>
      <c r="AP738" s="145"/>
      <c r="AQ738" s="145"/>
      <c r="AR738" s="145"/>
      <c r="AS738" s="145"/>
      <c r="AT738" s="146"/>
      <c r="AU738" s="146"/>
      <c r="AV738" s="145"/>
      <c r="AW738" s="145"/>
      <c r="AX738" s="145"/>
      <c r="AY738" s="145"/>
      <c r="AZ738" s="145"/>
      <c r="BA738" s="145"/>
      <c r="BB738" s="145"/>
      <c r="BC738" s="145"/>
      <c r="BD738" s="145"/>
    </row>
    <row r="739" spans="1:56" ht="18.75" customHeight="1" x14ac:dyDescent="0.55000000000000004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  <c r="AC739" s="145"/>
      <c r="AD739" s="145"/>
      <c r="AE739" s="145"/>
      <c r="AF739" s="145"/>
      <c r="AG739" s="145"/>
      <c r="AH739" s="145"/>
      <c r="AI739" s="145"/>
      <c r="AJ739" s="145"/>
      <c r="AK739" s="145"/>
      <c r="AL739" s="145"/>
      <c r="AM739" s="145"/>
      <c r="AN739" s="145"/>
      <c r="AO739" s="145"/>
      <c r="AP739" s="145"/>
      <c r="AQ739" s="145"/>
      <c r="AR739" s="145"/>
      <c r="AS739" s="145"/>
      <c r="AT739" s="146"/>
      <c r="AU739" s="146"/>
      <c r="AV739" s="145"/>
      <c r="AW739" s="145"/>
      <c r="AX739" s="145"/>
      <c r="AY739" s="145"/>
      <c r="AZ739" s="145"/>
      <c r="BA739" s="145"/>
      <c r="BB739" s="145"/>
      <c r="BC739" s="145"/>
      <c r="BD739" s="145"/>
    </row>
    <row r="740" spans="1:56" ht="18.75" customHeight="1" x14ac:dyDescent="0.55000000000000004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  <c r="AC740" s="145"/>
      <c r="AD740" s="145"/>
      <c r="AE740" s="145"/>
      <c r="AF740" s="145"/>
      <c r="AG740" s="145"/>
      <c r="AH740" s="145"/>
      <c r="AI740" s="145"/>
      <c r="AJ740" s="145"/>
      <c r="AK740" s="145"/>
      <c r="AL740" s="145"/>
      <c r="AM740" s="145"/>
      <c r="AN740" s="145"/>
      <c r="AO740" s="145"/>
      <c r="AP740" s="145"/>
      <c r="AQ740" s="145"/>
      <c r="AR740" s="145"/>
      <c r="AS740" s="145"/>
      <c r="AT740" s="146"/>
      <c r="AU740" s="146"/>
      <c r="AV740" s="145"/>
      <c r="AW740" s="145"/>
      <c r="AX740" s="145"/>
      <c r="AY740" s="145"/>
      <c r="AZ740" s="145"/>
      <c r="BA740" s="145"/>
      <c r="BB740" s="145"/>
      <c r="BC740" s="145"/>
      <c r="BD740" s="145"/>
    </row>
    <row r="741" spans="1:56" ht="18.75" customHeight="1" x14ac:dyDescent="0.55000000000000004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  <c r="AC741" s="145"/>
      <c r="AD741" s="145"/>
      <c r="AE741" s="145"/>
      <c r="AF741" s="145"/>
      <c r="AG741" s="145"/>
      <c r="AH741" s="145"/>
      <c r="AI741" s="145"/>
      <c r="AJ741" s="145"/>
      <c r="AK741" s="145"/>
      <c r="AL741" s="145"/>
      <c r="AM741" s="145"/>
      <c r="AN741" s="145"/>
      <c r="AO741" s="145"/>
      <c r="AP741" s="145"/>
      <c r="AQ741" s="145"/>
      <c r="AR741" s="145"/>
      <c r="AS741" s="145"/>
      <c r="AT741" s="146"/>
      <c r="AU741" s="146"/>
      <c r="AV741" s="145"/>
      <c r="AW741" s="145"/>
      <c r="AX741" s="145"/>
      <c r="AY741" s="145"/>
      <c r="AZ741" s="145"/>
      <c r="BA741" s="145"/>
      <c r="BB741" s="145"/>
      <c r="BC741" s="145"/>
      <c r="BD741" s="145"/>
    </row>
    <row r="742" spans="1:56" ht="18.75" customHeight="1" x14ac:dyDescent="0.55000000000000004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  <c r="AC742" s="145"/>
      <c r="AD742" s="145"/>
      <c r="AE742" s="145"/>
      <c r="AF742" s="145"/>
      <c r="AG742" s="145"/>
      <c r="AH742" s="145"/>
      <c r="AI742" s="145"/>
      <c r="AJ742" s="145"/>
      <c r="AK742" s="145"/>
      <c r="AL742" s="145"/>
      <c r="AM742" s="145"/>
      <c r="AN742" s="145"/>
      <c r="AO742" s="145"/>
      <c r="AP742" s="145"/>
      <c r="AQ742" s="145"/>
      <c r="AR742" s="145"/>
      <c r="AS742" s="145"/>
      <c r="AT742" s="146"/>
      <c r="AU742" s="146"/>
      <c r="AV742" s="145"/>
      <c r="AW742" s="145"/>
      <c r="AX742" s="145"/>
      <c r="AY742" s="145"/>
      <c r="AZ742" s="145"/>
      <c r="BA742" s="145"/>
      <c r="BB742" s="145"/>
      <c r="BC742" s="145"/>
      <c r="BD742" s="145"/>
    </row>
    <row r="743" spans="1:56" ht="18.75" customHeight="1" x14ac:dyDescent="0.55000000000000004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  <c r="AC743" s="145"/>
      <c r="AD743" s="145"/>
      <c r="AE743" s="145"/>
      <c r="AF743" s="145"/>
      <c r="AG743" s="145"/>
      <c r="AH743" s="145"/>
      <c r="AI743" s="145"/>
      <c r="AJ743" s="145"/>
      <c r="AK743" s="145"/>
      <c r="AL743" s="145"/>
      <c r="AM743" s="145"/>
      <c r="AN743" s="145"/>
      <c r="AO743" s="145"/>
      <c r="AP743" s="145"/>
      <c r="AQ743" s="145"/>
      <c r="AR743" s="145"/>
      <c r="AS743" s="145"/>
      <c r="AT743" s="146"/>
      <c r="AU743" s="146"/>
      <c r="AV743" s="145"/>
      <c r="AW743" s="145"/>
      <c r="AX743" s="145"/>
      <c r="AY743" s="145"/>
      <c r="AZ743" s="145"/>
      <c r="BA743" s="145"/>
      <c r="BB743" s="145"/>
      <c r="BC743" s="145"/>
      <c r="BD743" s="145"/>
    </row>
    <row r="744" spans="1:56" ht="18.75" customHeight="1" x14ac:dyDescent="0.55000000000000004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  <c r="AC744" s="145"/>
      <c r="AD744" s="145"/>
      <c r="AE744" s="145"/>
      <c r="AF744" s="145"/>
      <c r="AG744" s="145"/>
      <c r="AH744" s="145"/>
      <c r="AI744" s="145"/>
      <c r="AJ744" s="145"/>
      <c r="AK744" s="145"/>
      <c r="AL744" s="145"/>
      <c r="AM744" s="145"/>
      <c r="AN744" s="145"/>
      <c r="AO744" s="145"/>
      <c r="AP744" s="145"/>
      <c r="AQ744" s="145"/>
      <c r="AR744" s="145"/>
      <c r="AS744" s="145"/>
      <c r="AT744" s="146"/>
      <c r="AU744" s="146"/>
      <c r="AV744" s="145"/>
      <c r="AW744" s="145"/>
      <c r="AX744" s="145"/>
      <c r="AY744" s="145"/>
      <c r="AZ744" s="145"/>
      <c r="BA744" s="145"/>
      <c r="BB744" s="145"/>
      <c r="BC744" s="145"/>
      <c r="BD744" s="145"/>
    </row>
    <row r="745" spans="1:56" ht="18.75" customHeight="1" x14ac:dyDescent="0.55000000000000004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  <c r="AC745" s="145"/>
      <c r="AD745" s="145"/>
      <c r="AE745" s="145"/>
      <c r="AF745" s="145"/>
      <c r="AG745" s="145"/>
      <c r="AH745" s="145"/>
      <c r="AI745" s="145"/>
      <c r="AJ745" s="145"/>
      <c r="AK745" s="145"/>
      <c r="AL745" s="145"/>
      <c r="AM745" s="145"/>
      <c r="AN745" s="145"/>
      <c r="AO745" s="145"/>
      <c r="AP745" s="145"/>
      <c r="AQ745" s="145"/>
      <c r="AR745" s="145"/>
      <c r="AS745" s="145"/>
      <c r="AT745" s="146"/>
      <c r="AU745" s="146"/>
      <c r="AV745" s="145"/>
      <c r="AW745" s="145"/>
      <c r="AX745" s="145"/>
      <c r="AY745" s="145"/>
      <c r="AZ745" s="145"/>
      <c r="BA745" s="145"/>
      <c r="BB745" s="145"/>
      <c r="BC745" s="145"/>
      <c r="BD745" s="145"/>
    </row>
    <row r="746" spans="1:56" ht="18.75" customHeight="1" x14ac:dyDescent="0.55000000000000004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  <c r="AC746" s="145"/>
      <c r="AD746" s="145"/>
      <c r="AE746" s="145"/>
      <c r="AF746" s="145"/>
      <c r="AG746" s="145"/>
      <c r="AH746" s="145"/>
      <c r="AI746" s="145"/>
      <c r="AJ746" s="145"/>
      <c r="AK746" s="145"/>
      <c r="AL746" s="145"/>
      <c r="AM746" s="145"/>
      <c r="AN746" s="145"/>
      <c r="AO746" s="145"/>
      <c r="AP746" s="145"/>
      <c r="AQ746" s="145"/>
      <c r="AR746" s="145"/>
      <c r="AS746" s="145"/>
      <c r="AT746" s="146"/>
      <c r="AU746" s="146"/>
      <c r="AV746" s="145"/>
      <c r="AW746" s="145"/>
      <c r="AX746" s="145"/>
      <c r="AY746" s="145"/>
      <c r="AZ746" s="145"/>
      <c r="BA746" s="145"/>
      <c r="BB746" s="145"/>
      <c r="BC746" s="145"/>
      <c r="BD746" s="145"/>
    </row>
    <row r="747" spans="1:56" ht="18.75" customHeight="1" x14ac:dyDescent="0.55000000000000004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  <c r="AC747" s="145"/>
      <c r="AD747" s="145"/>
      <c r="AE747" s="145"/>
      <c r="AF747" s="145"/>
      <c r="AG747" s="145"/>
      <c r="AH747" s="145"/>
      <c r="AI747" s="145"/>
      <c r="AJ747" s="145"/>
      <c r="AK747" s="145"/>
      <c r="AL747" s="145"/>
      <c r="AM747" s="145"/>
      <c r="AN747" s="145"/>
      <c r="AO747" s="145"/>
      <c r="AP747" s="145"/>
      <c r="AQ747" s="145"/>
      <c r="AR747" s="145"/>
      <c r="AS747" s="145"/>
      <c r="AT747" s="146"/>
      <c r="AU747" s="146"/>
      <c r="AV747" s="145"/>
      <c r="AW747" s="145"/>
      <c r="AX747" s="145"/>
      <c r="AY747" s="145"/>
      <c r="AZ747" s="145"/>
      <c r="BA747" s="145"/>
      <c r="BB747" s="145"/>
      <c r="BC747" s="145"/>
      <c r="BD747" s="145"/>
    </row>
    <row r="748" spans="1:56" ht="18.75" customHeight="1" x14ac:dyDescent="0.55000000000000004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  <c r="AC748" s="145"/>
      <c r="AD748" s="145"/>
      <c r="AE748" s="145"/>
      <c r="AF748" s="145"/>
      <c r="AG748" s="145"/>
      <c r="AH748" s="145"/>
      <c r="AI748" s="145"/>
      <c r="AJ748" s="145"/>
      <c r="AK748" s="145"/>
      <c r="AL748" s="145"/>
      <c r="AM748" s="145"/>
      <c r="AN748" s="145"/>
      <c r="AO748" s="145"/>
      <c r="AP748" s="145"/>
      <c r="AQ748" s="145"/>
      <c r="AR748" s="145"/>
      <c r="AS748" s="145"/>
      <c r="AT748" s="146"/>
      <c r="AU748" s="146"/>
      <c r="AV748" s="145"/>
      <c r="AW748" s="145"/>
      <c r="AX748" s="145"/>
      <c r="AY748" s="145"/>
      <c r="AZ748" s="145"/>
      <c r="BA748" s="145"/>
      <c r="BB748" s="145"/>
      <c r="BC748" s="145"/>
      <c r="BD748" s="145"/>
    </row>
    <row r="749" spans="1:56" ht="18.75" customHeight="1" x14ac:dyDescent="0.55000000000000004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  <c r="AC749" s="145"/>
      <c r="AD749" s="145"/>
      <c r="AE749" s="145"/>
      <c r="AF749" s="145"/>
      <c r="AG749" s="145"/>
      <c r="AH749" s="145"/>
      <c r="AI749" s="145"/>
      <c r="AJ749" s="145"/>
      <c r="AK749" s="145"/>
      <c r="AL749" s="145"/>
      <c r="AM749" s="145"/>
      <c r="AN749" s="145"/>
      <c r="AO749" s="145"/>
      <c r="AP749" s="145"/>
      <c r="AQ749" s="145"/>
      <c r="AR749" s="145"/>
      <c r="AS749" s="145"/>
      <c r="AT749" s="146"/>
      <c r="AU749" s="146"/>
      <c r="AV749" s="145"/>
      <c r="AW749" s="145"/>
      <c r="AX749" s="145"/>
      <c r="AY749" s="145"/>
      <c r="AZ749" s="145"/>
      <c r="BA749" s="145"/>
      <c r="BB749" s="145"/>
      <c r="BC749" s="145"/>
      <c r="BD749" s="145"/>
    </row>
    <row r="750" spans="1:56" ht="18.75" customHeight="1" x14ac:dyDescent="0.55000000000000004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  <c r="AC750" s="145"/>
      <c r="AD750" s="145"/>
      <c r="AE750" s="145"/>
      <c r="AF750" s="145"/>
      <c r="AG750" s="145"/>
      <c r="AH750" s="145"/>
      <c r="AI750" s="145"/>
      <c r="AJ750" s="145"/>
      <c r="AK750" s="145"/>
      <c r="AL750" s="145"/>
      <c r="AM750" s="145"/>
      <c r="AN750" s="145"/>
      <c r="AO750" s="145"/>
      <c r="AP750" s="145"/>
      <c r="AQ750" s="145"/>
      <c r="AR750" s="145"/>
      <c r="AS750" s="145"/>
      <c r="AT750" s="146"/>
      <c r="AU750" s="146"/>
      <c r="AV750" s="145"/>
      <c r="AW750" s="145"/>
      <c r="AX750" s="145"/>
      <c r="AY750" s="145"/>
      <c r="AZ750" s="145"/>
      <c r="BA750" s="145"/>
      <c r="BB750" s="145"/>
      <c r="BC750" s="145"/>
      <c r="BD750" s="145"/>
    </row>
    <row r="751" spans="1:56" ht="18.75" customHeight="1" x14ac:dyDescent="0.55000000000000004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  <c r="AC751" s="145"/>
      <c r="AD751" s="145"/>
      <c r="AE751" s="145"/>
      <c r="AF751" s="145"/>
      <c r="AG751" s="145"/>
      <c r="AH751" s="145"/>
      <c r="AI751" s="145"/>
      <c r="AJ751" s="145"/>
      <c r="AK751" s="145"/>
      <c r="AL751" s="145"/>
      <c r="AM751" s="145"/>
      <c r="AN751" s="145"/>
      <c r="AO751" s="145"/>
      <c r="AP751" s="145"/>
      <c r="AQ751" s="145"/>
      <c r="AR751" s="145"/>
      <c r="AS751" s="145"/>
      <c r="AT751" s="146"/>
      <c r="AU751" s="146"/>
      <c r="AV751" s="145"/>
      <c r="AW751" s="145"/>
      <c r="AX751" s="145"/>
      <c r="AY751" s="145"/>
      <c r="AZ751" s="145"/>
      <c r="BA751" s="145"/>
      <c r="BB751" s="145"/>
      <c r="BC751" s="145"/>
      <c r="BD751" s="145"/>
    </row>
    <row r="752" spans="1:56" ht="18.75" customHeight="1" x14ac:dyDescent="0.55000000000000004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  <c r="AC752" s="145"/>
      <c r="AD752" s="145"/>
      <c r="AE752" s="145"/>
      <c r="AF752" s="145"/>
      <c r="AG752" s="145"/>
      <c r="AH752" s="145"/>
      <c r="AI752" s="145"/>
      <c r="AJ752" s="145"/>
      <c r="AK752" s="145"/>
      <c r="AL752" s="145"/>
      <c r="AM752" s="145"/>
      <c r="AN752" s="145"/>
      <c r="AO752" s="145"/>
      <c r="AP752" s="145"/>
      <c r="AQ752" s="145"/>
      <c r="AR752" s="145"/>
      <c r="AS752" s="145"/>
      <c r="AT752" s="146"/>
      <c r="AU752" s="146"/>
      <c r="AV752" s="145"/>
      <c r="AW752" s="145"/>
      <c r="AX752" s="145"/>
      <c r="AY752" s="145"/>
      <c r="AZ752" s="145"/>
      <c r="BA752" s="145"/>
      <c r="BB752" s="145"/>
      <c r="BC752" s="145"/>
      <c r="BD752" s="145"/>
    </row>
    <row r="753" spans="1:56" ht="18.75" customHeight="1" x14ac:dyDescent="0.55000000000000004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  <c r="AC753" s="145"/>
      <c r="AD753" s="145"/>
      <c r="AE753" s="145"/>
      <c r="AF753" s="145"/>
      <c r="AG753" s="145"/>
      <c r="AH753" s="145"/>
      <c r="AI753" s="145"/>
      <c r="AJ753" s="145"/>
      <c r="AK753" s="145"/>
      <c r="AL753" s="145"/>
      <c r="AM753" s="145"/>
      <c r="AN753" s="145"/>
      <c r="AO753" s="145"/>
      <c r="AP753" s="145"/>
      <c r="AQ753" s="145"/>
      <c r="AR753" s="145"/>
      <c r="AS753" s="145"/>
      <c r="AT753" s="146"/>
      <c r="AU753" s="146"/>
      <c r="AV753" s="145"/>
      <c r="AW753" s="145"/>
      <c r="AX753" s="145"/>
      <c r="AY753" s="145"/>
      <c r="AZ753" s="145"/>
      <c r="BA753" s="145"/>
      <c r="BB753" s="145"/>
      <c r="BC753" s="145"/>
      <c r="BD753" s="145"/>
    </row>
    <row r="754" spans="1:56" ht="18.75" customHeight="1" x14ac:dyDescent="0.55000000000000004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  <c r="AC754" s="145"/>
      <c r="AD754" s="145"/>
      <c r="AE754" s="145"/>
      <c r="AF754" s="145"/>
      <c r="AG754" s="145"/>
      <c r="AH754" s="145"/>
      <c r="AI754" s="145"/>
      <c r="AJ754" s="145"/>
      <c r="AK754" s="145"/>
      <c r="AL754" s="145"/>
      <c r="AM754" s="145"/>
      <c r="AN754" s="145"/>
      <c r="AO754" s="145"/>
      <c r="AP754" s="145"/>
      <c r="AQ754" s="145"/>
      <c r="AR754" s="145"/>
      <c r="AS754" s="145"/>
      <c r="AT754" s="146"/>
      <c r="AU754" s="146"/>
      <c r="AV754" s="145"/>
      <c r="AW754" s="145"/>
      <c r="AX754" s="145"/>
      <c r="AY754" s="145"/>
      <c r="AZ754" s="145"/>
      <c r="BA754" s="145"/>
      <c r="BB754" s="145"/>
      <c r="BC754" s="145"/>
      <c r="BD754" s="145"/>
    </row>
    <row r="755" spans="1:56" ht="18.75" customHeight="1" x14ac:dyDescent="0.55000000000000004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  <c r="AC755" s="145"/>
      <c r="AD755" s="145"/>
      <c r="AE755" s="145"/>
      <c r="AF755" s="145"/>
      <c r="AG755" s="145"/>
      <c r="AH755" s="145"/>
      <c r="AI755" s="145"/>
      <c r="AJ755" s="145"/>
      <c r="AK755" s="145"/>
      <c r="AL755" s="145"/>
      <c r="AM755" s="145"/>
      <c r="AN755" s="145"/>
      <c r="AO755" s="145"/>
      <c r="AP755" s="145"/>
      <c r="AQ755" s="145"/>
      <c r="AR755" s="145"/>
      <c r="AS755" s="145"/>
      <c r="AT755" s="146"/>
      <c r="AU755" s="146"/>
      <c r="AV755" s="145"/>
      <c r="AW755" s="145"/>
      <c r="AX755" s="145"/>
      <c r="AY755" s="145"/>
      <c r="AZ755" s="145"/>
      <c r="BA755" s="145"/>
      <c r="BB755" s="145"/>
      <c r="BC755" s="145"/>
      <c r="BD755" s="145"/>
    </row>
    <row r="756" spans="1:56" ht="18.75" customHeight="1" x14ac:dyDescent="0.55000000000000004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  <c r="AC756" s="145"/>
      <c r="AD756" s="145"/>
      <c r="AE756" s="145"/>
      <c r="AF756" s="145"/>
      <c r="AG756" s="145"/>
      <c r="AH756" s="145"/>
      <c r="AI756" s="145"/>
      <c r="AJ756" s="145"/>
      <c r="AK756" s="145"/>
      <c r="AL756" s="145"/>
      <c r="AM756" s="145"/>
      <c r="AN756" s="145"/>
      <c r="AO756" s="145"/>
      <c r="AP756" s="145"/>
      <c r="AQ756" s="145"/>
      <c r="AR756" s="145"/>
      <c r="AS756" s="145"/>
      <c r="AT756" s="146"/>
      <c r="AU756" s="146"/>
      <c r="AV756" s="145"/>
      <c r="AW756" s="145"/>
      <c r="AX756" s="145"/>
      <c r="AY756" s="145"/>
      <c r="AZ756" s="145"/>
      <c r="BA756" s="145"/>
      <c r="BB756" s="145"/>
      <c r="BC756" s="145"/>
      <c r="BD756" s="145"/>
    </row>
    <row r="757" spans="1:56" ht="18.75" customHeight="1" x14ac:dyDescent="0.55000000000000004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  <c r="AC757" s="145"/>
      <c r="AD757" s="145"/>
      <c r="AE757" s="145"/>
      <c r="AF757" s="145"/>
      <c r="AG757" s="145"/>
      <c r="AH757" s="145"/>
      <c r="AI757" s="145"/>
      <c r="AJ757" s="145"/>
      <c r="AK757" s="145"/>
      <c r="AL757" s="145"/>
      <c r="AM757" s="145"/>
      <c r="AN757" s="145"/>
      <c r="AO757" s="145"/>
      <c r="AP757" s="145"/>
      <c r="AQ757" s="145"/>
      <c r="AR757" s="145"/>
      <c r="AS757" s="145"/>
      <c r="AT757" s="146"/>
      <c r="AU757" s="146"/>
      <c r="AV757" s="145"/>
      <c r="AW757" s="145"/>
      <c r="AX757" s="145"/>
      <c r="AY757" s="145"/>
      <c r="AZ757" s="145"/>
      <c r="BA757" s="145"/>
      <c r="BB757" s="145"/>
      <c r="BC757" s="145"/>
      <c r="BD757" s="145"/>
    </row>
    <row r="758" spans="1:56" ht="18.75" customHeight="1" x14ac:dyDescent="0.55000000000000004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  <c r="AC758" s="145"/>
      <c r="AD758" s="145"/>
      <c r="AE758" s="145"/>
      <c r="AF758" s="145"/>
      <c r="AG758" s="145"/>
      <c r="AH758" s="145"/>
      <c r="AI758" s="145"/>
      <c r="AJ758" s="145"/>
      <c r="AK758" s="145"/>
      <c r="AL758" s="145"/>
      <c r="AM758" s="145"/>
      <c r="AN758" s="145"/>
      <c r="AO758" s="145"/>
      <c r="AP758" s="145"/>
      <c r="AQ758" s="145"/>
      <c r="AR758" s="145"/>
      <c r="AS758" s="145"/>
      <c r="AT758" s="146"/>
      <c r="AU758" s="146"/>
      <c r="AV758" s="145"/>
      <c r="AW758" s="145"/>
      <c r="AX758" s="145"/>
      <c r="AY758" s="145"/>
      <c r="AZ758" s="145"/>
      <c r="BA758" s="145"/>
      <c r="BB758" s="145"/>
      <c r="BC758" s="145"/>
      <c r="BD758" s="145"/>
    </row>
    <row r="759" spans="1:56" ht="18.75" customHeight="1" x14ac:dyDescent="0.55000000000000004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  <c r="AC759" s="145"/>
      <c r="AD759" s="145"/>
      <c r="AE759" s="145"/>
      <c r="AF759" s="145"/>
      <c r="AG759" s="145"/>
      <c r="AH759" s="145"/>
      <c r="AI759" s="145"/>
      <c r="AJ759" s="145"/>
      <c r="AK759" s="145"/>
      <c r="AL759" s="145"/>
      <c r="AM759" s="145"/>
      <c r="AN759" s="145"/>
      <c r="AO759" s="145"/>
      <c r="AP759" s="145"/>
      <c r="AQ759" s="145"/>
      <c r="AR759" s="145"/>
      <c r="AS759" s="145"/>
      <c r="AT759" s="146"/>
      <c r="AU759" s="146"/>
      <c r="AV759" s="145"/>
      <c r="AW759" s="145"/>
      <c r="AX759" s="145"/>
      <c r="AY759" s="145"/>
      <c r="AZ759" s="145"/>
      <c r="BA759" s="145"/>
      <c r="BB759" s="145"/>
      <c r="BC759" s="145"/>
      <c r="BD759" s="145"/>
    </row>
    <row r="760" spans="1:56" ht="18.75" customHeight="1" x14ac:dyDescent="0.55000000000000004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  <c r="AC760" s="145"/>
      <c r="AD760" s="145"/>
      <c r="AE760" s="145"/>
      <c r="AF760" s="145"/>
      <c r="AG760" s="145"/>
      <c r="AH760" s="145"/>
      <c r="AI760" s="145"/>
      <c r="AJ760" s="145"/>
      <c r="AK760" s="145"/>
      <c r="AL760" s="145"/>
      <c r="AM760" s="145"/>
      <c r="AN760" s="145"/>
      <c r="AO760" s="145"/>
      <c r="AP760" s="145"/>
      <c r="AQ760" s="145"/>
      <c r="AR760" s="145"/>
      <c r="AS760" s="145"/>
      <c r="AT760" s="146"/>
      <c r="AU760" s="146"/>
      <c r="AV760" s="145"/>
      <c r="AW760" s="145"/>
      <c r="AX760" s="145"/>
      <c r="AY760" s="145"/>
      <c r="AZ760" s="145"/>
      <c r="BA760" s="145"/>
      <c r="BB760" s="145"/>
      <c r="BC760" s="145"/>
      <c r="BD760" s="145"/>
    </row>
    <row r="761" spans="1:56" ht="18.75" customHeight="1" x14ac:dyDescent="0.55000000000000004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  <c r="AC761" s="145"/>
      <c r="AD761" s="145"/>
      <c r="AE761" s="145"/>
      <c r="AF761" s="145"/>
      <c r="AG761" s="145"/>
      <c r="AH761" s="145"/>
      <c r="AI761" s="145"/>
      <c r="AJ761" s="145"/>
      <c r="AK761" s="145"/>
      <c r="AL761" s="145"/>
      <c r="AM761" s="145"/>
      <c r="AN761" s="145"/>
      <c r="AO761" s="145"/>
      <c r="AP761" s="145"/>
      <c r="AQ761" s="145"/>
      <c r="AR761" s="145"/>
      <c r="AS761" s="145"/>
      <c r="AT761" s="146"/>
      <c r="AU761" s="146"/>
      <c r="AV761" s="145"/>
      <c r="AW761" s="145"/>
      <c r="AX761" s="145"/>
      <c r="AY761" s="145"/>
      <c r="AZ761" s="145"/>
      <c r="BA761" s="145"/>
      <c r="BB761" s="145"/>
      <c r="BC761" s="145"/>
      <c r="BD761" s="145"/>
    </row>
    <row r="762" spans="1:56" ht="18.75" customHeight="1" x14ac:dyDescent="0.55000000000000004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  <c r="AC762" s="145"/>
      <c r="AD762" s="145"/>
      <c r="AE762" s="145"/>
      <c r="AF762" s="145"/>
      <c r="AG762" s="145"/>
      <c r="AH762" s="145"/>
      <c r="AI762" s="145"/>
      <c r="AJ762" s="145"/>
      <c r="AK762" s="145"/>
      <c r="AL762" s="145"/>
      <c r="AM762" s="145"/>
      <c r="AN762" s="145"/>
      <c r="AO762" s="145"/>
      <c r="AP762" s="145"/>
      <c r="AQ762" s="145"/>
      <c r="AR762" s="145"/>
      <c r="AS762" s="145"/>
      <c r="AT762" s="146"/>
      <c r="AU762" s="146"/>
      <c r="AV762" s="145"/>
      <c r="AW762" s="145"/>
      <c r="AX762" s="145"/>
      <c r="AY762" s="145"/>
      <c r="AZ762" s="145"/>
      <c r="BA762" s="145"/>
      <c r="BB762" s="145"/>
      <c r="BC762" s="145"/>
      <c r="BD762" s="145"/>
    </row>
    <row r="763" spans="1:56" ht="18.75" customHeight="1" x14ac:dyDescent="0.55000000000000004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  <c r="AC763" s="145"/>
      <c r="AD763" s="145"/>
      <c r="AE763" s="145"/>
      <c r="AF763" s="145"/>
      <c r="AG763" s="145"/>
      <c r="AH763" s="145"/>
      <c r="AI763" s="145"/>
      <c r="AJ763" s="145"/>
      <c r="AK763" s="145"/>
      <c r="AL763" s="145"/>
      <c r="AM763" s="145"/>
      <c r="AN763" s="145"/>
      <c r="AO763" s="145"/>
      <c r="AP763" s="145"/>
      <c r="AQ763" s="145"/>
      <c r="AR763" s="145"/>
      <c r="AS763" s="145"/>
      <c r="AT763" s="146"/>
      <c r="AU763" s="146"/>
      <c r="AV763" s="145"/>
      <c r="AW763" s="145"/>
      <c r="AX763" s="145"/>
      <c r="AY763" s="145"/>
      <c r="AZ763" s="145"/>
      <c r="BA763" s="145"/>
      <c r="BB763" s="145"/>
      <c r="BC763" s="145"/>
      <c r="BD763" s="145"/>
    </row>
    <row r="764" spans="1:56" ht="18.75" customHeight="1" x14ac:dyDescent="0.55000000000000004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  <c r="AC764" s="145"/>
      <c r="AD764" s="145"/>
      <c r="AE764" s="145"/>
      <c r="AF764" s="145"/>
      <c r="AG764" s="145"/>
      <c r="AH764" s="145"/>
      <c r="AI764" s="145"/>
      <c r="AJ764" s="145"/>
      <c r="AK764" s="145"/>
      <c r="AL764" s="145"/>
      <c r="AM764" s="145"/>
      <c r="AN764" s="145"/>
      <c r="AO764" s="145"/>
      <c r="AP764" s="145"/>
      <c r="AQ764" s="145"/>
      <c r="AR764" s="145"/>
      <c r="AS764" s="145"/>
      <c r="AT764" s="146"/>
      <c r="AU764" s="146"/>
      <c r="AV764" s="145"/>
      <c r="AW764" s="145"/>
      <c r="AX764" s="145"/>
      <c r="AY764" s="145"/>
      <c r="AZ764" s="145"/>
      <c r="BA764" s="145"/>
      <c r="BB764" s="145"/>
      <c r="BC764" s="145"/>
      <c r="BD764" s="145"/>
    </row>
    <row r="765" spans="1:56" ht="18.75" customHeight="1" x14ac:dyDescent="0.55000000000000004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  <c r="AC765" s="145"/>
      <c r="AD765" s="145"/>
      <c r="AE765" s="145"/>
      <c r="AF765" s="145"/>
      <c r="AG765" s="145"/>
      <c r="AH765" s="145"/>
      <c r="AI765" s="145"/>
      <c r="AJ765" s="145"/>
      <c r="AK765" s="145"/>
      <c r="AL765" s="145"/>
      <c r="AM765" s="145"/>
      <c r="AN765" s="145"/>
      <c r="AO765" s="145"/>
      <c r="AP765" s="145"/>
      <c r="AQ765" s="145"/>
      <c r="AR765" s="145"/>
      <c r="AS765" s="145"/>
      <c r="AT765" s="146"/>
      <c r="AU765" s="146"/>
      <c r="AV765" s="145"/>
      <c r="AW765" s="145"/>
      <c r="AX765" s="145"/>
      <c r="AY765" s="145"/>
      <c r="AZ765" s="145"/>
      <c r="BA765" s="145"/>
      <c r="BB765" s="145"/>
      <c r="BC765" s="145"/>
      <c r="BD765" s="145"/>
    </row>
    <row r="766" spans="1:56" ht="18.75" customHeight="1" x14ac:dyDescent="0.55000000000000004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  <c r="AC766" s="145"/>
      <c r="AD766" s="145"/>
      <c r="AE766" s="145"/>
      <c r="AF766" s="145"/>
      <c r="AG766" s="145"/>
      <c r="AH766" s="145"/>
      <c r="AI766" s="145"/>
      <c r="AJ766" s="145"/>
      <c r="AK766" s="145"/>
      <c r="AL766" s="145"/>
      <c r="AM766" s="145"/>
      <c r="AN766" s="145"/>
      <c r="AO766" s="145"/>
      <c r="AP766" s="145"/>
      <c r="AQ766" s="145"/>
      <c r="AR766" s="145"/>
      <c r="AS766" s="145"/>
      <c r="AT766" s="146"/>
      <c r="AU766" s="146"/>
      <c r="AV766" s="145"/>
      <c r="AW766" s="145"/>
      <c r="AX766" s="145"/>
      <c r="AY766" s="145"/>
      <c r="AZ766" s="145"/>
      <c r="BA766" s="145"/>
      <c r="BB766" s="145"/>
      <c r="BC766" s="145"/>
      <c r="BD766" s="145"/>
    </row>
    <row r="767" spans="1:56" ht="18.75" customHeight="1" x14ac:dyDescent="0.55000000000000004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  <c r="AC767" s="145"/>
      <c r="AD767" s="145"/>
      <c r="AE767" s="145"/>
      <c r="AF767" s="145"/>
      <c r="AG767" s="145"/>
      <c r="AH767" s="145"/>
      <c r="AI767" s="145"/>
      <c r="AJ767" s="145"/>
      <c r="AK767" s="145"/>
      <c r="AL767" s="145"/>
      <c r="AM767" s="145"/>
      <c r="AN767" s="145"/>
      <c r="AO767" s="145"/>
      <c r="AP767" s="145"/>
      <c r="AQ767" s="145"/>
      <c r="AR767" s="145"/>
      <c r="AS767" s="145"/>
      <c r="AT767" s="146"/>
      <c r="AU767" s="146"/>
      <c r="AV767" s="145"/>
      <c r="AW767" s="145"/>
      <c r="AX767" s="145"/>
      <c r="AY767" s="145"/>
      <c r="AZ767" s="145"/>
      <c r="BA767" s="145"/>
      <c r="BB767" s="145"/>
      <c r="BC767" s="145"/>
      <c r="BD767" s="145"/>
    </row>
    <row r="768" spans="1:56" ht="18.75" customHeight="1" x14ac:dyDescent="0.55000000000000004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  <c r="AC768" s="145"/>
      <c r="AD768" s="145"/>
      <c r="AE768" s="145"/>
      <c r="AF768" s="145"/>
      <c r="AG768" s="145"/>
      <c r="AH768" s="145"/>
      <c r="AI768" s="145"/>
      <c r="AJ768" s="145"/>
      <c r="AK768" s="145"/>
      <c r="AL768" s="145"/>
      <c r="AM768" s="145"/>
      <c r="AN768" s="145"/>
      <c r="AO768" s="145"/>
      <c r="AP768" s="145"/>
      <c r="AQ768" s="145"/>
      <c r="AR768" s="145"/>
      <c r="AS768" s="145"/>
      <c r="AT768" s="146"/>
      <c r="AU768" s="146"/>
      <c r="AV768" s="145"/>
      <c r="AW768" s="145"/>
      <c r="AX768" s="145"/>
      <c r="AY768" s="145"/>
      <c r="AZ768" s="145"/>
      <c r="BA768" s="145"/>
      <c r="BB768" s="145"/>
      <c r="BC768" s="145"/>
      <c r="BD768" s="145"/>
    </row>
    <row r="769" spans="1:56" ht="18.75" customHeight="1" x14ac:dyDescent="0.55000000000000004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  <c r="AC769" s="145"/>
      <c r="AD769" s="145"/>
      <c r="AE769" s="145"/>
      <c r="AF769" s="145"/>
      <c r="AG769" s="145"/>
      <c r="AH769" s="145"/>
      <c r="AI769" s="145"/>
      <c r="AJ769" s="145"/>
      <c r="AK769" s="145"/>
      <c r="AL769" s="145"/>
      <c r="AM769" s="145"/>
      <c r="AN769" s="145"/>
      <c r="AO769" s="145"/>
      <c r="AP769" s="145"/>
      <c r="AQ769" s="145"/>
      <c r="AR769" s="145"/>
      <c r="AS769" s="145"/>
      <c r="AT769" s="146"/>
      <c r="AU769" s="146"/>
      <c r="AV769" s="145"/>
      <c r="AW769" s="145"/>
      <c r="AX769" s="145"/>
      <c r="AY769" s="145"/>
      <c r="AZ769" s="145"/>
      <c r="BA769" s="145"/>
      <c r="BB769" s="145"/>
      <c r="BC769" s="145"/>
      <c r="BD769" s="145"/>
    </row>
    <row r="770" spans="1:56" ht="18.75" customHeight="1" x14ac:dyDescent="0.55000000000000004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  <c r="AC770" s="145"/>
      <c r="AD770" s="145"/>
      <c r="AE770" s="145"/>
      <c r="AF770" s="145"/>
      <c r="AG770" s="145"/>
      <c r="AH770" s="145"/>
      <c r="AI770" s="145"/>
      <c r="AJ770" s="145"/>
      <c r="AK770" s="145"/>
      <c r="AL770" s="145"/>
      <c r="AM770" s="145"/>
      <c r="AN770" s="145"/>
      <c r="AO770" s="145"/>
      <c r="AP770" s="145"/>
      <c r="AQ770" s="145"/>
      <c r="AR770" s="145"/>
      <c r="AS770" s="145"/>
      <c r="AT770" s="146"/>
      <c r="AU770" s="146"/>
      <c r="AV770" s="145"/>
      <c r="AW770" s="145"/>
      <c r="AX770" s="145"/>
      <c r="AY770" s="145"/>
      <c r="AZ770" s="145"/>
      <c r="BA770" s="145"/>
      <c r="BB770" s="145"/>
      <c r="BC770" s="145"/>
      <c r="BD770" s="145"/>
    </row>
    <row r="771" spans="1:56" ht="18.75" customHeight="1" x14ac:dyDescent="0.55000000000000004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  <c r="AC771" s="145"/>
      <c r="AD771" s="145"/>
      <c r="AE771" s="145"/>
      <c r="AF771" s="145"/>
      <c r="AG771" s="145"/>
      <c r="AH771" s="145"/>
      <c r="AI771" s="145"/>
      <c r="AJ771" s="145"/>
      <c r="AK771" s="145"/>
      <c r="AL771" s="145"/>
      <c r="AM771" s="145"/>
      <c r="AN771" s="145"/>
      <c r="AO771" s="145"/>
      <c r="AP771" s="145"/>
      <c r="AQ771" s="145"/>
      <c r="AR771" s="145"/>
      <c r="AS771" s="145"/>
      <c r="AT771" s="146"/>
      <c r="AU771" s="146"/>
      <c r="AV771" s="145"/>
      <c r="AW771" s="145"/>
      <c r="AX771" s="145"/>
      <c r="AY771" s="145"/>
      <c r="AZ771" s="145"/>
      <c r="BA771" s="145"/>
      <c r="BB771" s="145"/>
      <c r="BC771" s="145"/>
      <c r="BD771" s="145"/>
    </row>
    <row r="772" spans="1:56" ht="18.75" customHeight="1" x14ac:dyDescent="0.55000000000000004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  <c r="AC772" s="145"/>
      <c r="AD772" s="145"/>
      <c r="AE772" s="145"/>
      <c r="AF772" s="145"/>
      <c r="AG772" s="145"/>
      <c r="AH772" s="145"/>
      <c r="AI772" s="145"/>
      <c r="AJ772" s="145"/>
      <c r="AK772" s="145"/>
      <c r="AL772" s="145"/>
      <c r="AM772" s="145"/>
      <c r="AN772" s="145"/>
      <c r="AO772" s="145"/>
      <c r="AP772" s="145"/>
      <c r="AQ772" s="145"/>
      <c r="AR772" s="145"/>
      <c r="AS772" s="145"/>
      <c r="AT772" s="146"/>
      <c r="AU772" s="146"/>
      <c r="AV772" s="145"/>
      <c r="AW772" s="145"/>
      <c r="AX772" s="145"/>
      <c r="AY772" s="145"/>
      <c r="AZ772" s="145"/>
      <c r="BA772" s="145"/>
      <c r="BB772" s="145"/>
      <c r="BC772" s="145"/>
      <c r="BD772" s="145"/>
    </row>
    <row r="773" spans="1:56" ht="18.75" customHeight="1" x14ac:dyDescent="0.55000000000000004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  <c r="AC773" s="145"/>
      <c r="AD773" s="145"/>
      <c r="AE773" s="145"/>
      <c r="AF773" s="145"/>
      <c r="AG773" s="145"/>
      <c r="AH773" s="145"/>
      <c r="AI773" s="145"/>
      <c r="AJ773" s="145"/>
      <c r="AK773" s="145"/>
      <c r="AL773" s="145"/>
      <c r="AM773" s="145"/>
      <c r="AN773" s="145"/>
      <c r="AO773" s="145"/>
      <c r="AP773" s="145"/>
      <c r="AQ773" s="145"/>
      <c r="AR773" s="145"/>
      <c r="AS773" s="145"/>
      <c r="AT773" s="146"/>
      <c r="AU773" s="146"/>
      <c r="AV773" s="145"/>
      <c r="AW773" s="145"/>
      <c r="AX773" s="145"/>
      <c r="AY773" s="145"/>
      <c r="AZ773" s="145"/>
      <c r="BA773" s="145"/>
      <c r="BB773" s="145"/>
      <c r="BC773" s="145"/>
      <c r="BD773" s="145"/>
    </row>
    <row r="774" spans="1:56" ht="18.75" customHeight="1" x14ac:dyDescent="0.55000000000000004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  <c r="AC774" s="145"/>
      <c r="AD774" s="145"/>
      <c r="AE774" s="145"/>
      <c r="AF774" s="145"/>
      <c r="AG774" s="145"/>
      <c r="AH774" s="145"/>
      <c r="AI774" s="145"/>
      <c r="AJ774" s="145"/>
      <c r="AK774" s="145"/>
      <c r="AL774" s="145"/>
      <c r="AM774" s="145"/>
      <c r="AN774" s="145"/>
      <c r="AO774" s="145"/>
      <c r="AP774" s="145"/>
      <c r="AQ774" s="145"/>
      <c r="AR774" s="145"/>
      <c r="AS774" s="145"/>
      <c r="AT774" s="146"/>
      <c r="AU774" s="146"/>
      <c r="AV774" s="145"/>
      <c r="AW774" s="145"/>
      <c r="AX774" s="145"/>
      <c r="AY774" s="145"/>
      <c r="AZ774" s="145"/>
      <c r="BA774" s="145"/>
      <c r="BB774" s="145"/>
      <c r="BC774" s="145"/>
      <c r="BD774" s="145"/>
    </row>
    <row r="775" spans="1:56" ht="18.75" customHeight="1" x14ac:dyDescent="0.55000000000000004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  <c r="AC775" s="145"/>
      <c r="AD775" s="145"/>
      <c r="AE775" s="145"/>
      <c r="AF775" s="145"/>
      <c r="AG775" s="145"/>
      <c r="AH775" s="145"/>
      <c r="AI775" s="145"/>
      <c r="AJ775" s="145"/>
      <c r="AK775" s="145"/>
      <c r="AL775" s="145"/>
      <c r="AM775" s="145"/>
      <c r="AN775" s="145"/>
      <c r="AO775" s="145"/>
      <c r="AP775" s="145"/>
      <c r="AQ775" s="145"/>
      <c r="AR775" s="145"/>
      <c r="AS775" s="145"/>
      <c r="AT775" s="146"/>
      <c r="AU775" s="146"/>
      <c r="AV775" s="145"/>
      <c r="AW775" s="145"/>
      <c r="AX775" s="145"/>
      <c r="AY775" s="145"/>
      <c r="AZ775" s="145"/>
      <c r="BA775" s="145"/>
      <c r="BB775" s="145"/>
      <c r="BC775" s="145"/>
      <c r="BD775" s="145"/>
    </row>
    <row r="776" spans="1:56" ht="18.75" customHeight="1" x14ac:dyDescent="0.55000000000000004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  <c r="AC776" s="145"/>
      <c r="AD776" s="145"/>
      <c r="AE776" s="145"/>
      <c r="AF776" s="145"/>
      <c r="AG776" s="145"/>
      <c r="AH776" s="145"/>
      <c r="AI776" s="145"/>
      <c r="AJ776" s="145"/>
      <c r="AK776" s="145"/>
      <c r="AL776" s="145"/>
      <c r="AM776" s="145"/>
      <c r="AN776" s="145"/>
      <c r="AO776" s="145"/>
      <c r="AP776" s="145"/>
      <c r="AQ776" s="145"/>
      <c r="AR776" s="145"/>
      <c r="AS776" s="145"/>
      <c r="AT776" s="146"/>
      <c r="AU776" s="146"/>
      <c r="AV776" s="145"/>
      <c r="AW776" s="145"/>
      <c r="AX776" s="145"/>
      <c r="AY776" s="145"/>
      <c r="AZ776" s="145"/>
      <c r="BA776" s="145"/>
      <c r="BB776" s="145"/>
      <c r="BC776" s="145"/>
      <c r="BD776" s="145"/>
    </row>
    <row r="777" spans="1:56" ht="18.75" customHeight="1" x14ac:dyDescent="0.55000000000000004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  <c r="AC777" s="145"/>
      <c r="AD777" s="145"/>
      <c r="AE777" s="145"/>
      <c r="AF777" s="145"/>
      <c r="AG777" s="145"/>
      <c r="AH777" s="145"/>
      <c r="AI777" s="145"/>
      <c r="AJ777" s="145"/>
      <c r="AK777" s="145"/>
      <c r="AL777" s="145"/>
      <c r="AM777" s="145"/>
      <c r="AN777" s="145"/>
      <c r="AO777" s="145"/>
      <c r="AP777" s="145"/>
      <c r="AQ777" s="145"/>
      <c r="AR777" s="145"/>
      <c r="AS777" s="145"/>
      <c r="AT777" s="146"/>
      <c r="AU777" s="146"/>
      <c r="AV777" s="145"/>
      <c r="AW777" s="145"/>
      <c r="AX777" s="145"/>
      <c r="AY777" s="145"/>
      <c r="AZ777" s="145"/>
      <c r="BA777" s="145"/>
      <c r="BB777" s="145"/>
      <c r="BC777" s="145"/>
      <c r="BD777" s="145"/>
    </row>
    <row r="778" spans="1:56" ht="18.75" customHeight="1" x14ac:dyDescent="0.55000000000000004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  <c r="AC778" s="145"/>
      <c r="AD778" s="145"/>
      <c r="AE778" s="145"/>
      <c r="AF778" s="145"/>
      <c r="AG778" s="145"/>
      <c r="AH778" s="145"/>
      <c r="AI778" s="145"/>
      <c r="AJ778" s="145"/>
      <c r="AK778" s="145"/>
      <c r="AL778" s="145"/>
      <c r="AM778" s="145"/>
      <c r="AN778" s="145"/>
      <c r="AO778" s="145"/>
      <c r="AP778" s="145"/>
      <c r="AQ778" s="145"/>
      <c r="AR778" s="145"/>
      <c r="AS778" s="145"/>
      <c r="AT778" s="146"/>
      <c r="AU778" s="146"/>
      <c r="AV778" s="145"/>
      <c r="AW778" s="145"/>
      <c r="AX778" s="145"/>
      <c r="AY778" s="145"/>
      <c r="AZ778" s="145"/>
      <c r="BA778" s="145"/>
      <c r="BB778" s="145"/>
      <c r="BC778" s="145"/>
      <c r="BD778" s="145"/>
    </row>
    <row r="779" spans="1:56" ht="18.75" customHeight="1" x14ac:dyDescent="0.55000000000000004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  <c r="AC779" s="145"/>
      <c r="AD779" s="145"/>
      <c r="AE779" s="145"/>
      <c r="AF779" s="145"/>
      <c r="AG779" s="145"/>
      <c r="AH779" s="145"/>
      <c r="AI779" s="145"/>
      <c r="AJ779" s="145"/>
      <c r="AK779" s="145"/>
      <c r="AL779" s="145"/>
      <c r="AM779" s="145"/>
      <c r="AN779" s="145"/>
      <c r="AO779" s="145"/>
      <c r="AP779" s="145"/>
      <c r="AQ779" s="145"/>
      <c r="AR779" s="145"/>
      <c r="AS779" s="145"/>
      <c r="AT779" s="146"/>
      <c r="AU779" s="146"/>
      <c r="AV779" s="145"/>
      <c r="AW779" s="145"/>
      <c r="AX779" s="145"/>
      <c r="AY779" s="145"/>
      <c r="AZ779" s="145"/>
      <c r="BA779" s="145"/>
      <c r="BB779" s="145"/>
      <c r="BC779" s="145"/>
      <c r="BD779" s="145"/>
    </row>
    <row r="780" spans="1:56" ht="18.75" customHeight="1" x14ac:dyDescent="0.55000000000000004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  <c r="AC780" s="145"/>
      <c r="AD780" s="145"/>
      <c r="AE780" s="145"/>
      <c r="AF780" s="145"/>
      <c r="AG780" s="145"/>
      <c r="AH780" s="145"/>
      <c r="AI780" s="145"/>
      <c r="AJ780" s="145"/>
      <c r="AK780" s="145"/>
      <c r="AL780" s="145"/>
      <c r="AM780" s="145"/>
      <c r="AN780" s="145"/>
      <c r="AO780" s="145"/>
      <c r="AP780" s="145"/>
      <c r="AQ780" s="145"/>
      <c r="AR780" s="145"/>
      <c r="AS780" s="145"/>
      <c r="AT780" s="146"/>
      <c r="AU780" s="146"/>
      <c r="AV780" s="145"/>
      <c r="AW780" s="145"/>
      <c r="AX780" s="145"/>
      <c r="AY780" s="145"/>
      <c r="AZ780" s="145"/>
      <c r="BA780" s="145"/>
      <c r="BB780" s="145"/>
      <c r="BC780" s="145"/>
      <c r="BD780" s="145"/>
    </row>
    <row r="781" spans="1:56" ht="18.75" customHeight="1" x14ac:dyDescent="0.55000000000000004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  <c r="AC781" s="145"/>
      <c r="AD781" s="145"/>
      <c r="AE781" s="145"/>
      <c r="AF781" s="145"/>
      <c r="AG781" s="145"/>
      <c r="AH781" s="145"/>
      <c r="AI781" s="145"/>
      <c r="AJ781" s="145"/>
      <c r="AK781" s="145"/>
      <c r="AL781" s="145"/>
      <c r="AM781" s="145"/>
      <c r="AN781" s="145"/>
      <c r="AO781" s="145"/>
      <c r="AP781" s="145"/>
      <c r="AQ781" s="145"/>
      <c r="AR781" s="145"/>
      <c r="AS781" s="145"/>
      <c r="AT781" s="146"/>
      <c r="AU781" s="146"/>
      <c r="AV781" s="145"/>
      <c r="AW781" s="145"/>
      <c r="AX781" s="145"/>
      <c r="AY781" s="145"/>
      <c r="AZ781" s="145"/>
      <c r="BA781" s="145"/>
      <c r="BB781" s="145"/>
      <c r="BC781" s="145"/>
      <c r="BD781" s="145"/>
    </row>
    <row r="782" spans="1:56" ht="18.75" customHeight="1" x14ac:dyDescent="0.55000000000000004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  <c r="AC782" s="145"/>
      <c r="AD782" s="145"/>
      <c r="AE782" s="145"/>
      <c r="AF782" s="145"/>
      <c r="AG782" s="145"/>
      <c r="AH782" s="145"/>
      <c r="AI782" s="145"/>
      <c r="AJ782" s="145"/>
      <c r="AK782" s="145"/>
      <c r="AL782" s="145"/>
      <c r="AM782" s="145"/>
      <c r="AN782" s="145"/>
      <c r="AO782" s="145"/>
      <c r="AP782" s="145"/>
      <c r="AQ782" s="145"/>
      <c r="AR782" s="145"/>
      <c r="AS782" s="145"/>
      <c r="AT782" s="146"/>
      <c r="AU782" s="146"/>
      <c r="AV782" s="145"/>
      <c r="AW782" s="145"/>
      <c r="AX782" s="145"/>
      <c r="AY782" s="145"/>
      <c r="AZ782" s="145"/>
      <c r="BA782" s="145"/>
      <c r="BB782" s="145"/>
      <c r="BC782" s="145"/>
      <c r="BD782" s="145"/>
    </row>
    <row r="783" spans="1:56" ht="18.75" customHeight="1" x14ac:dyDescent="0.55000000000000004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  <c r="AC783" s="145"/>
      <c r="AD783" s="145"/>
      <c r="AE783" s="145"/>
      <c r="AF783" s="145"/>
      <c r="AG783" s="145"/>
      <c r="AH783" s="145"/>
      <c r="AI783" s="145"/>
      <c r="AJ783" s="145"/>
      <c r="AK783" s="145"/>
      <c r="AL783" s="145"/>
      <c r="AM783" s="145"/>
      <c r="AN783" s="145"/>
      <c r="AO783" s="145"/>
      <c r="AP783" s="145"/>
      <c r="AQ783" s="145"/>
      <c r="AR783" s="145"/>
      <c r="AS783" s="145"/>
      <c r="AT783" s="146"/>
      <c r="AU783" s="146"/>
      <c r="AV783" s="145"/>
      <c r="AW783" s="145"/>
      <c r="AX783" s="145"/>
      <c r="AY783" s="145"/>
      <c r="AZ783" s="145"/>
      <c r="BA783" s="145"/>
      <c r="BB783" s="145"/>
      <c r="BC783" s="145"/>
      <c r="BD783" s="145"/>
    </row>
    <row r="784" spans="1:56" ht="18.75" customHeight="1" x14ac:dyDescent="0.55000000000000004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  <c r="AC784" s="145"/>
      <c r="AD784" s="145"/>
      <c r="AE784" s="145"/>
      <c r="AF784" s="145"/>
      <c r="AG784" s="145"/>
      <c r="AH784" s="145"/>
      <c r="AI784" s="145"/>
      <c r="AJ784" s="145"/>
      <c r="AK784" s="145"/>
      <c r="AL784" s="145"/>
      <c r="AM784" s="145"/>
      <c r="AN784" s="145"/>
      <c r="AO784" s="145"/>
      <c r="AP784" s="145"/>
      <c r="AQ784" s="145"/>
      <c r="AR784" s="145"/>
      <c r="AS784" s="145"/>
      <c r="AT784" s="146"/>
      <c r="AU784" s="146"/>
      <c r="AV784" s="145"/>
      <c r="AW784" s="145"/>
      <c r="AX784" s="145"/>
      <c r="AY784" s="145"/>
      <c r="AZ784" s="145"/>
      <c r="BA784" s="145"/>
      <c r="BB784" s="145"/>
      <c r="BC784" s="145"/>
      <c r="BD784" s="145"/>
    </row>
    <row r="785" spans="1:56" ht="18.75" customHeight="1" x14ac:dyDescent="0.55000000000000004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  <c r="AC785" s="145"/>
      <c r="AD785" s="145"/>
      <c r="AE785" s="145"/>
      <c r="AF785" s="145"/>
      <c r="AG785" s="145"/>
      <c r="AH785" s="145"/>
      <c r="AI785" s="145"/>
      <c r="AJ785" s="145"/>
      <c r="AK785" s="145"/>
      <c r="AL785" s="145"/>
      <c r="AM785" s="145"/>
      <c r="AN785" s="145"/>
      <c r="AO785" s="145"/>
      <c r="AP785" s="145"/>
      <c r="AQ785" s="145"/>
      <c r="AR785" s="145"/>
      <c r="AS785" s="145"/>
      <c r="AT785" s="146"/>
      <c r="AU785" s="146"/>
      <c r="AV785" s="145"/>
      <c r="AW785" s="145"/>
      <c r="AX785" s="145"/>
      <c r="AY785" s="145"/>
      <c r="AZ785" s="145"/>
      <c r="BA785" s="145"/>
      <c r="BB785" s="145"/>
      <c r="BC785" s="145"/>
      <c r="BD785" s="145"/>
    </row>
    <row r="786" spans="1:56" ht="18.75" customHeight="1" x14ac:dyDescent="0.55000000000000004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  <c r="AC786" s="145"/>
      <c r="AD786" s="145"/>
      <c r="AE786" s="145"/>
      <c r="AF786" s="145"/>
      <c r="AG786" s="145"/>
      <c r="AH786" s="145"/>
      <c r="AI786" s="145"/>
      <c r="AJ786" s="145"/>
      <c r="AK786" s="145"/>
      <c r="AL786" s="145"/>
      <c r="AM786" s="145"/>
      <c r="AN786" s="145"/>
      <c r="AO786" s="145"/>
      <c r="AP786" s="145"/>
      <c r="AQ786" s="145"/>
      <c r="AR786" s="145"/>
      <c r="AS786" s="145"/>
      <c r="AT786" s="146"/>
      <c r="AU786" s="146"/>
      <c r="AV786" s="145"/>
      <c r="AW786" s="145"/>
      <c r="AX786" s="145"/>
      <c r="AY786" s="145"/>
      <c r="AZ786" s="145"/>
      <c r="BA786" s="145"/>
      <c r="BB786" s="145"/>
      <c r="BC786" s="145"/>
      <c r="BD786" s="145"/>
    </row>
    <row r="787" spans="1:56" ht="18.75" customHeight="1" x14ac:dyDescent="0.55000000000000004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  <c r="AC787" s="145"/>
      <c r="AD787" s="145"/>
      <c r="AE787" s="145"/>
      <c r="AF787" s="145"/>
      <c r="AG787" s="145"/>
      <c r="AH787" s="145"/>
      <c r="AI787" s="145"/>
      <c r="AJ787" s="145"/>
      <c r="AK787" s="145"/>
      <c r="AL787" s="145"/>
      <c r="AM787" s="145"/>
      <c r="AN787" s="145"/>
      <c r="AO787" s="145"/>
      <c r="AP787" s="145"/>
      <c r="AQ787" s="145"/>
      <c r="AR787" s="145"/>
      <c r="AS787" s="145"/>
      <c r="AT787" s="146"/>
      <c r="AU787" s="146"/>
      <c r="AV787" s="145"/>
      <c r="AW787" s="145"/>
      <c r="AX787" s="145"/>
      <c r="AY787" s="145"/>
      <c r="AZ787" s="145"/>
      <c r="BA787" s="145"/>
      <c r="BB787" s="145"/>
      <c r="BC787" s="145"/>
      <c r="BD787" s="145"/>
    </row>
    <row r="788" spans="1:56" ht="18.75" customHeight="1" x14ac:dyDescent="0.55000000000000004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  <c r="AC788" s="145"/>
      <c r="AD788" s="145"/>
      <c r="AE788" s="145"/>
      <c r="AF788" s="145"/>
      <c r="AG788" s="145"/>
      <c r="AH788" s="145"/>
      <c r="AI788" s="145"/>
      <c r="AJ788" s="145"/>
      <c r="AK788" s="145"/>
      <c r="AL788" s="145"/>
      <c r="AM788" s="145"/>
      <c r="AN788" s="145"/>
      <c r="AO788" s="145"/>
      <c r="AP788" s="145"/>
      <c r="AQ788" s="145"/>
      <c r="AR788" s="145"/>
      <c r="AS788" s="145"/>
      <c r="AT788" s="146"/>
      <c r="AU788" s="146"/>
      <c r="AV788" s="145"/>
      <c r="AW788" s="145"/>
      <c r="AX788" s="145"/>
      <c r="AY788" s="145"/>
      <c r="AZ788" s="145"/>
      <c r="BA788" s="145"/>
      <c r="BB788" s="145"/>
      <c r="BC788" s="145"/>
      <c r="BD788" s="145"/>
    </row>
    <row r="789" spans="1:56" ht="18.75" customHeight="1" x14ac:dyDescent="0.55000000000000004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  <c r="AC789" s="145"/>
      <c r="AD789" s="145"/>
      <c r="AE789" s="145"/>
      <c r="AF789" s="145"/>
      <c r="AG789" s="145"/>
      <c r="AH789" s="145"/>
      <c r="AI789" s="145"/>
      <c r="AJ789" s="145"/>
      <c r="AK789" s="145"/>
      <c r="AL789" s="145"/>
      <c r="AM789" s="145"/>
      <c r="AN789" s="145"/>
      <c r="AO789" s="145"/>
      <c r="AP789" s="145"/>
      <c r="AQ789" s="145"/>
      <c r="AR789" s="145"/>
      <c r="AS789" s="145"/>
      <c r="AT789" s="146"/>
      <c r="AU789" s="146"/>
      <c r="AV789" s="145"/>
      <c r="AW789" s="145"/>
      <c r="AX789" s="145"/>
      <c r="AY789" s="145"/>
      <c r="AZ789" s="145"/>
      <c r="BA789" s="145"/>
      <c r="BB789" s="145"/>
      <c r="BC789" s="145"/>
      <c r="BD789" s="145"/>
    </row>
    <row r="790" spans="1:56" ht="18.75" customHeight="1" x14ac:dyDescent="0.55000000000000004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  <c r="AC790" s="145"/>
      <c r="AD790" s="145"/>
      <c r="AE790" s="145"/>
      <c r="AF790" s="145"/>
      <c r="AG790" s="145"/>
      <c r="AH790" s="145"/>
      <c r="AI790" s="145"/>
      <c r="AJ790" s="145"/>
      <c r="AK790" s="145"/>
      <c r="AL790" s="145"/>
      <c r="AM790" s="145"/>
      <c r="AN790" s="145"/>
      <c r="AO790" s="145"/>
      <c r="AP790" s="145"/>
      <c r="AQ790" s="145"/>
      <c r="AR790" s="145"/>
      <c r="AS790" s="145"/>
      <c r="AT790" s="146"/>
      <c r="AU790" s="146"/>
      <c r="AV790" s="145"/>
      <c r="AW790" s="145"/>
      <c r="AX790" s="145"/>
      <c r="AY790" s="145"/>
      <c r="AZ790" s="145"/>
      <c r="BA790" s="145"/>
      <c r="BB790" s="145"/>
      <c r="BC790" s="145"/>
      <c r="BD790" s="145"/>
    </row>
    <row r="791" spans="1:56" ht="18.75" customHeight="1" x14ac:dyDescent="0.55000000000000004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  <c r="AC791" s="145"/>
      <c r="AD791" s="145"/>
      <c r="AE791" s="145"/>
      <c r="AF791" s="145"/>
      <c r="AG791" s="145"/>
      <c r="AH791" s="145"/>
      <c r="AI791" s="145"/>
      <c r="AJ791" s="145"/>
      <c r="AK791" s="145"/>
      <c r="AL791" s="145"/>
      <c r="AM791" s="145"/>
      <c r="AN791" s="145"/>
      <c r="AO791" s="145"/>
      <c r="AP791" s="145"/>
      <c r="AQ791" s="145"/>
      <c r="AR791" s="145"/>
      <c r="AS791" s="145"/>
      <c r="AT791" s="146"/>
      <c r="AU791" s="146"/>
      <c r="AV791" s="145"/>
      <c r="AW791" s="145"/>
      <c r="AX791" s="145"/>
      <c r="AY791" s="145"/>
      <c r="AZ791" s="145"/>
      <c r="BA791" s="145"/>
      <c r="BB791" s="145"/>
      <c r="BC791" s="145"/>
      <c r="BD791" s="145"/>
    </row>
    <row r="792" spans="1:56" ht="18.75" customHeight="1" x14ac:dyDescent="0.55000000000000004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  <c r="AC792" s="145"/>
      <c r="AD792" s="145"/>
      <c r="AE792" s="145"/>
      <c r="AF792" s="145"/>
      <c r="AG792" s="145"/>
      <c r="AH792" s="145"/>
      <c r="AI792" s="145"/>
      <c r="AJ792" s="145"/>
      <c r="AK792" s="145"/>
      <c r="AL792" s="145"/>
      <c r="AM792" s="145"/>
      <c r="AN792" s="145"/>
      <c r="AO792" s="145"/>
      <c r="AP792" s="145"/>
      <c r="AQ792" s="145"/>
      <c r="AR792" s="145"/>
      <c r="AS792" s="145"/>
      <c r="AT792" s="146"/>
      <c r="AU792" s="146"/>
      <c r="AV792" s="145"/>
      <c r="AW792" s="145"/>
      <c r="AX792" s="145"/>
      <c r="AY792" s="145"/>
      <c r="AZ792" s="145"/>
      <c r="BA792" s="145"/>
      <c r="BB792" s="145"/>
      <c r="BC792" s="145"/>
      <c r="BD792" s="145"/>
    </row>
    <row r="793" spans="1:56" ht="18.75" customHeight="1" x14ac:dyDescent="0.55000000000000004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  <c r="AC793" s="145"/>
      <c r="AD793" s="145"/>
      <c r="AE793" s="145"/>
      <c r="AF793" s="145"/>
      <c r="AG793" s="145"/>
      <c r="AH793" s="145"/>
      <c r="AI793" s="145"/>
      <c r="AJ793" s="145"/>
      <c r="AK793" s="145"/>
      <c r="AL793" s="145"/>
      <c r="AM793" s="145"/>
      <c r="AN793" s="145"/>
      <c r="AO793" s="145"/>
      <c r="AP793" s="145"/>
      <c r="AQ793" s="145"/>
      <c r="AR793" s="145"/>
      <c r="AS793" s="145"/>
      <c r="AT793" s="146"/>
      <c r="AU793" s="146"/>
      <c r="AV793" s="145"/>
      <c r="AW793" s="145"/>
      <c r="AX793" s="145"/>
      <c r="AY793" s="145"/>
      <c r="AZ793" s="145"/>
      <c r="BA793" s="145"/>
      <c r="BB793" s="145"/>
      <c r="BC793" s="145"/>
      <c r="BD793" s="145"/>
    </row>
    <row r="794" spans="1:56" ht="18.75" customHeight="1" x14ac:dyDescent="0.55000000000000004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  <c r="AC794" s="145"/>
      <c r="AD794" s="145"/>
      <c r="AE794" s="145"/>
      <c r="AF794" s="145"/>
      <c r="AG794" s="145"/>
      <c r="AH794" s="145"/>
      <c r="AI794" s="145"/>
      <c r="AJ794" s="145"/>
      <c r="AK794" s="145"/>
      <c r="AL794" s="145"/>
      <c r="AM794" s="145"/>
      <c r="AN794" s="145"/>
      <c r="AO794" s="145"/>
      <c r="AP794" s="145"/>
      <c r="AQ794" s="145"/>
      <c r="AR794" s="145"/>
      <c r="AS794" s="145"/>
      <c r="AT794" s="146"/>
      <c r="AU794" s="146"/>
      <c r="AV794" s="145"/>
      <c r="AW794" s="145"/>
      <c r="AX794" s="145"/>
      <c r="AY794" s="145"/>
      <c r="AZ794" s="145"/>
      <c r="BA794" s="145"/>
      <c r="BB794" s="145"/>
      <c r="BC794" s="145"/>
      <c r="BD794" s="145"/>
    </row>
    <row r="795" spans="1:56" ht="18.75" customHeight="1" x14ac:dyDescent="0.55000000000000004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  <c r="AC795" s="145"/>
      <c r="AD795" s="145"/>
      <c r="AE795" s="145"/>
      <c r="AF795" s="145"/>
      <c r="AG795" s="145"/>
      <c r="AH795" s="145"/>
      <c r="AI795" s="145"/>
      <c r="AJ795" s="145"/>
      <c r="AK795" s="145"/>
      <c r="AL795" s="145"/>
      <c r="AM795" s="145"/>
      <c r="AN795" s="145"/>
      <c r="AO795" s="145"/>
      <c r="AP795" s="145"/>
      <c r="AQ795" s="145"/>
      <c r="AR795" s="145"/>
      <c r="AS795" s="145"/>
      <c r="AT795" s="146"/>
      <c r="AU795" s="146"/>
      <c r="AV795" s="145"/>
      <c r="AW795" s="145"/>
      <c r="AX795" s="145"/>
      <c r="AY795" s="145"/>
      <c r="AZ795" s="145"/>
      <c r="BA795" s="145"/>
      <c r="BB795" s="145"/>
      <c r="BC795" s="145"/>
      <c r="BD795" s="145"/>
    </row>
    <row r="796" spans="1:56" ht="18.75" customHeight="1" x14ac:dyDescent="0.55000000000000004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  <c r="AC796" s="145"/>
      <c r="AD796" s="145"/>
      <c r="AE796" s="145"/>
      <c r="AF796" s="145"/>
      <c r="AG796" s="145"/>
      <c r="AH796" s="145"/>
      <c r="AI796" s="145"/>
      <c r="AJ796" s="145"/>
      <c r="AK796" s="145"/>
      <c r="AL796" s="145"/>
      <c r="AM796" s="145"/>
      <c r="AN796" s="145"/>
      <c r="AO796" s="145"/>
      <c r="AP796" s="145"/>
      <c r="AQ796" s="145"/>
      <c r="AR796" s="145"/>
      <c r="AS796" s="145"/>
      <c r="AT796" s="146"/>
      <c r="AU796" s="146"/>
      <c r="AV796" s="145"/>
      <c r="AW796" s="145"/>
      <c r="AX796" s="145"/>
      <c r="AY796" s="145"/>
      <c r="AZ796" s="145"/>
      <c r="BA796" s="145"/>
      <c r="BB796" s="145"/>
      <c r="BC796" s="145"/>
      <c r="BD796" s="145"/>
    </row>
    <row r="797" spans="1:56" ht="18.75" customHeight="1" x14ac:dyDescent="0.55000000000000004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  <c r="AC797" s="145"/>
      <c r="AD797" s="145"/>
      <c r="AE797" s="145"/>
      <c r="AF797" s="145"/>
      <c r="AG797" s="145"/>
      <c r="AH797" s="145"/>
      <c r="AI797" s="145"/>
      <c r="AJ797" s="145"/>
      <c r="AK797" s="145"/>
      <c r="AL797" s="145"/>
      <c r="AM797" s="145"/>
      <c r="AN797" s="145"/>
      <c r="AO797" s="145"/>
      <c r="AP797" s="145"/>
      <c r="AQ797" s="145"/>
      <c r="AR797" s="145"/>
      <c r="AS797" s="145"/>
      <c r="AT797" s="146"/>
      <c r="AU797" s="146"/>
      <c r="AV797" s="145"/>
      <c r="AW797" s="145"/>
      <c r="AX797" s="145"/>
      <c r="AY797" s="145"/>
      <c r="AZ797" s="145"/>
      <c r="BA797" s="145"/>
      <c r="BB797" s="145"/>
      <c r="BC797" s="145"/>
      <c r="BD797" s="145"/>
    </row>
    <row r="798" spans="1:56" ht="18.75" customHeight="1" x14ac:dyDescent="0.55000000000000004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  <c r="AC798" s="145"/>
      <c r="AD798" s="145"/>
      <c r="AE798" s="145"/>
      <c r="AF798" s="145"/>
      <c r="AG798" s="145"/>
      <c r="AH798" s="145"/>
      <c r="AI798" s="145"/>
      <c r="AJ798" s="145"/>
      <c r="AK798" s="145"/>
      <c r="AL798" s="145"/>
      <c r="AM798" s="145"/>
      <c r="AN798" s="145"/>
      <c r="AO798" s="145"/>
      <c r="AP798" s="145"/>
      <c r="AQ798" s="145"/>
      <c r="AR798" s="145"/>
      <c r="AS798" s="145"/>
      <c r="AT798" s="146"/>
      <c r="AU798" s="146"/>
      <c r="AV798" s="145"/>
      <c r="AW798" s="145"/>
      <c r="AX798" s="145"/>
      <c r="AY798" s="145"/>
      <c r="AZ798" s="145"/>
      <c r="BA798" s="145"/>
      <c r="BB798" s="145"/>
      <c r="BC798" s="145"/>
      <c r="BD798" s="145"/>
    </row>
    <row r="799" spans="1:56" ht="18.75" customHeight="1" x14ac:dyDescent="0.55000000000000004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  <c r="AC799" s="145"/>
      <c r="AD799" s="145"/>
      <c r="AE799" s="145"/>
      <c r="AF799" s="145"/>
      <c r="AG799" s="145"/>
      <c r="AH799" s="145"/>
      <c r="AI799" s="145"/>
      <c r="AJ799" s="145"/>
      <c r="AK799" s="145"/>
      <c r="AL799" s="145"/>
      <c r="AM799" s="145"/>
      <c r="AN799" s="145"/>
      <c r="AO799" s="145"/>
      <c r="AP799" s="145"/>
      <c r="AQ799" s="145"/>
      <c r="AR799" s="145"/>
      <c r="AS799" s="145"/>
      <c r="AT799" s="146"/>
      <c r="AU799" s="146"/>
      <c r="AV799" s="145"/>
      <c r="AW799" s="145"/>
      <c r="AX799" s="145"/>
      <c r="AY799" s="145"/>
      <c r="AZ799" s="145"/>
      <c r="BA799" s="145"/>
      <c r="BB799" s="145"/>
      <c r="BC799" s="145"/>
      <c r="BD799" s="145"/>
    </row>
    <row r="800" spans="1:56" ht="18.75" customHeight="1" x14ac:dyDescent="0.55000000000000004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  <c r="AC800" s="145"/>
      <c r="AD800" s="145"/>
      <c r="AE800" s="145"/>
      <c r="AF800" s="145"/>
      <c r="AG800" s="145"/>
      <c r="AH800" s="145"/>
      <c r="AI800" s="145"/>
      <c r="AJ800" s="145"/>
      <c r="AK800" s="145"/>
      <c r="AL800" s="145"/>
      <c r="AM800" s="145"/>
      <c r="AN800" s="145"/>
      <c r="AO800" s="145"/>
      <c r="AP800" s="145"/>
      <c r="AQ800" s="145"/>
      <c r="AR800" s="145"/>
      <c r="AS800" s="145"/>
      <c r="AT800" s="146"/>
      <c r="AU800" s="146"/>
      <c r="AV800" s="145"/>
      <c r="AW800" s="145"/>
      <c r="AX800" s="145"/>
      <c r="AY800" s="145"/>
      <c r="AZ800" s="145"/>
      <c r="BA800" s="145"/>
      <c r="BB800" s="145"/>
      <c r="BC800" s="145"/>
      <c r="BD800" s="145"/>
    </row>
    <row r="801" spans="1:56" ht="18.75" customHeight="1" x14ac:dyDescent="0.55000000000000004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  <c r="AC801" s="145"/>
      <c r="AD801" s="145"/>
      <c r="AE801" s="145"/>
      <c r="AF801" s="145"/>
      <c r="AG801" s="145"/>
      <c r="AH801" s="145"/>
      <c r="AI801" s="145"/>
      <c r="AJ801" s="145"/>
      <c r="AK801" s="145"/>
      <c r="AL801" s="145"/>
      <c r="AM801" s="145"/>
      <c r="AN801" s="145"/>
      <c r="AO801" s="145"/>
      <c r="AP801" s="145"/>
      <c r="AQ801" s="145"/>
      <c r="AR801" s="145"/>
      <c r="AS801" s="145"/>
      <c r="AT801" s="146"/>
      <c r="AU801" s="146"/>
      <c r="AV801" s="145"/>
      <c r="AW801" s="145"/>
      <c r="AX801" s="145"/>
      <c r="AY801" s="145"/>
      <c r="AZ801" s="145"/>
      <c r="BA801" s="145"/>
      <c r="BB801" s="145"/>
      <c r="BC801" s="145"/>
      <c r="BD801" s="145"/>
    </row>
    <row r="802" spans="1:56" ht="18.75" customHeight="1" x14ac:dyDescent="0.55000000000000004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  <c r="AC802" s="145"/>
      <c r="AD802" s="145"/>
      <c r="AE802" s="145"/>
      <c r="AF802" s="145"/>
      <c r="AG802" s="145"/>
      <c r="AH802" s="145"/>
      <c r="AI802" s="145"/>
      <c r="AJ802" s="145"/>
      <c r="AK802" s="145"/>
      <c r="AL802" s="145"/>
      <c r="AM802" s="145"/>
      <c r="AN802" s="145"/>
      <c r="AO802" s="145"/>
      <c r="AP802" s="145"/>
      <c r="AQ802" s="145"/>
      <c r="AR802" s="145"/>
      <c r="AS802" s="145"/>
      <c r="AT802" s="146"/>
      <c r="AU802" s="146"/>
      <c r="AV802" s="145"/>
      <c r="AW802" s="145"/>
      <c r="AX802" s="145"/>
      <c r="AY802" s="145"/>
      <c r="AZ802" s="145"/>
      <c r="BA802" s="145"/>
      <c r="BB802" s="145"/>
      <c r="BC802" s="145"/>
      <c r="BD802" s="145"/>
    </row>
    <row r="803" spans="1:56" ht="18.75" customHeight="1" x14ac:dyDescent="0.55000000000000004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  <c r="AC803" s="145"/>
      <c r="AD803" s="145"/>
      <c r="AE803" s="145"/>
      <c r="AF803" s="145"/>
      <c r="AG803" s="145"/>
      <c r="AH803" s="145"/>
      <c r="AI803" s="145"/>
      <c r="AJ803" s="145"/>
      <c r="AK803" s="145"/>
      <c r="AL803" s="145"/>
      <c r="AM803" s="145"/>
      <c r="AN803" s="145"/>
      <c r="AO803" s="145"/>
      <c r="AP803" s="145"/>
      <c r="AQ803" s="145"/>
      <c r="AR803" s="145"/>
      <c r="AS803" s="145"/>
      <c r="AT803" s="146"/>
      <c r="AU803" s="146"/>
      <c r="AV803" s="145"/>
      <c r="AW803" s="145"/>
      <c r="AX803" s="145"/>
      <c r="AY803" s="145"/>
      <c r="AZ803" s="145"/>
      <c r="BA803" s="145"/>
      <c r="BB803" s="145"/>
      <c r="BC803" s="145"/>
      <c r="BD803" s="145"/>
    </row>
    <row r="804" spans="1:56" ht="18.75" customHeight="1" x14ac:dyDescent="0.55000000000000004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  <c r="AC804" s="145"/>
      <c r="AD804" s="145"/>
      <c r="AE804" s="145"/>
      <c r="AF804" s="145"/>
      <c r="AG804" s="145"/>
      <c r="AH804" s="145"/>
      <c r="AI804" s="145"/>
      <c r="AJ804" s="145"/>
      <c r="AK804" s="145"/>
      <c r="AL804" s="145"/>
      <c r="AM804" s="145"/>
      <c r="AN804" s="145"/>
      <c r="AO804" s="145"/>
      <c r="AP804" s="145"/>
      <c r="AQ804" s="145"/>
      <c r="AR804" s="145"/>
      <c r="AS804" s="145"/>
      <c r="AT804" s="146"/>
      <c r="AU804" s="146"/>
      <c r="AV804" s="145"/>
      <c r="AW804" s="145"/>
      <c r="AX804" s="145"/>
      <c r="AY804" s="145"/>
      <c r="AZ804" s="145"/>
      <c r="BA804" s="145"/>
      <c r="BB804" s="145"/>
      <c r="BC804" s="145"/>
      <c r="BD804" s="145"/>
    </row>
    <row r="805" spans="1:56" ht="18.75" customHeight="1" x14ac:dyDescent="0.55000000000000004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  <c r="AC805" s="145"/>
      <c r="AD805" s="145"/>
      <c r="AE805" s="145"/>
      <c r="AF805" s="145"/>
      <c r="AG805" s="145"/>
      <c r="AH805" s="145"/>
      <c r="AI805" s="145"/>
      <c r="AJ805" s="145"/>
      <c r="AK805" s="145"/>
      <c r="AL805" s="145"/>
      <c r="AM805" s="145"/>
      <c r="AN805" s="145"/>
      <c r="AO805" s="145"/>
      <c r="AP805" s="145"/>
      <c r="AQ805" s="145"/>
      <c r="AR805" s="145"/>
      <c r="AS805" s="145"/>
      <c r="AT805" s="146"/>
      <c r="AU805" s="146"/>
      <c r="AV805" s="145"/>
      <c r="AW805" s="145"/>
      <c r="AX805" s="145"/>
      <c r="AY805" s="145"/>
      <c r="AZ805" s="145"/>
      <c r="BA805" s="145"/>
      <c r="BB805" s="145"/>
      <c r="BC805" s="145"/>
      <c r="BD805" s="145"/>
    </row>
    <row r="806" spans="1:56" ht="18.75" customHeight="1" x14ac:dyDescent="0.55000000000000004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  <c r="AC806" s="145"/>
      <c r="AD806" s="145"/>
      <c r="AE806" s="145"/>
      <c r="AF806" s="145"/>
      <c r="AG806" s="145"/>
      <c r="AH806" s="145"/>
      <c r="AI806" s="145"/>
      <c r="AJ806" s="145"/>
      <c r="AK806" s="145"/>
      <c r="AL806" s="145"/>
      <c r="AM806" s="145"/>
      <c r="AN806" s="145"/>
      <c r="AO806" s="145"/>
      <c r="AP806" s="145"/>
      <c r="AQ806" s="145"/>
      <c r="AR806" s="145"/>
      <c r="AS806" s="145"/>
      <c r="AT806" s="146"/>
      <c r="AU806" s="146"/>
      <c r="AV806" s="145"/>
      <c r="AW806" s="145"/>
      <c r="AX806" s="145"/>
      <c r="AY806" s="145"/>
      <c r="AZ806" s="145"/>
      <c r="BA806" s="145"/>
      <c r="BB806" s="145"/>
      <c r="BC806" s="145"/>
      <c r="BD806" s="145"/>
    </row>
    <row r="807" spans="1:56" ht="18.75" customHeight="1" x14ac:dyDescent="0.55000000000000004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  <c r="AC807" s="145"/>
      <c r="AD807" s="145"/>
      <c r="AE807" s="145"/>
      <c r="AF807" s="145"/>
      <c r="AG807" s="145"/>
      <c r="AH807" s="145"/>
      <c r="AI807" s="145"/>
      <c r="AJ807" s="145"/>
      <c r="AK807" s="145"/>
      <c r="AL807" s="145"/>
      <c r="AM807" s="145"/>
      <c r="AN807" s="145"/>
      <c r="AO807" s="145"/>
      <c r="AP807" s="145"/>
      <c r="AQ807" s="145"/>
      <c r="AR807" s="145"/>
      <c r="AS807" s="145"/>
      <c r="AT807" s="146"/>
      <c r="AU807" s="146"/>
      <c r="AV807" s="145"/>
      <c r="AW807" s="145"/>
      <c r="AX807" s="145"/>
      <c r="AY807" s="145"/>
      <c r="AZ807" s="145"/>
      <c r="BA807" s="145"/>
      <c r="BB807" s="145"/>
      <c r="BC807" s="145"/>
      <c r="BD807" s="145"/>
    </row>
    <row r="808" spans="1:56" ht="18.75" customHeight="1" x14ac:dyDescent="0.55000000000000004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  <c r="AC808" s="145"/>
      <c r="AD808" s="145"/>
      <c r="AE808" s="145"/>
      <c r="AF808" s="145"/>
      <c r="AG808" s="145"/>
      <c r="AH808" s="145"/>
      <c r="AI808" s="145"/>
      <c r="AJ808" s="145"/>
      <c r="AK808" s="145"/>
      <c r="AL808" s="145"/>
      <c r="AM808" s="145"/>
      <c r="AN808" s="145"/>
      <c r="AO808" s="145"/>
      <c r="AP808" s="145"/>
      <c r="AQ808" s="145"/>
      <c r="AR808" s="145"/>
      <c r="AS808" s="145"/>
      <c r="AT808" s="146"/>
      <c r="AU808" s="146"/>
      <c r="AV808" s="145"/>
      <c r="AW808" s="145"/>
      <c r="AX808" s="145"/>
      <c r="AY808" s="145"/>
      <c r="AZ808" s="145"/>
      <c r="BA808" s="145"/>
      <c r="BB808" s="145"/>
      <c r="BC808" s="145"/>
      <c r="BD808" s="145"/>
    </row>
    <row r="809" spans="1:56" ht="18.75" customHeight="1" x14ac:dyDescent="0.55000000000000004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  <c r="AE809" s="145"/>
      <c r="AF809" s="145"/>
      <c r="AG809" s="145"/>
      <c r="AH809" s="145"/>
      <c r="AI809" s="145"/>
      <c r="AJ809" s="145"/>
      <c r="AK809" s="145"/>
      <c r="AL809" s="145"/>
      <c r="AM809" s="145"/>
      <c r="AN809" s="145"/>
      <c r="AO809" s="145"/>
      <c r="AP809" s="145"/>
      <c r="AQ809" s="145"/>
      <c r="AR809" s="145"/>
      <c r="AS809" s="145"/>
      <c r="AT809" s="146"/>
      <c r="AU809" s="146"/>
      <c r="AV809" s="145"/>
      <c r="AW809" s="145"/>
      <c r="AX809" s="145"/>
      <c r="AY809" s="145"/>
      <c r="AZ809" s="145"/>
      <c r="BA809" s="145"/>
      <c r="BB809" s="145"/>
      <c r="BC809" s="145"/>
      <c r="BD809" s="145"/>
    </row>
    <row r="810" spans="1:56" ht="18.75" customHeight="1" x14ac:dyDescent="0.55000000000000004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  <c r="AC810" s="145"/>
      <c r="AD810" s="145"/>
      <c r="AE810" s="145"/>
      <c r="AF810" s="145"/>
      <c r="AG810" s="145"/>
      <c r="AH810" s="145"/>
      <c r="AI810" s="145"/>
      <c r="AJ810" s="145"/>
      <c r="AK810" s="145"/>
      <c r="AL810" s="145"/>
      <c r="AM810" s="145"/>
      <c r="AN810" s="145"/>
      <c r="AO810" s="145"/>
      <c r="AP810" s="145"/>
      <c r="AQ810" s="145"/>
      <c r="AR810" s="145"/>
      <c r="AS810" s="145"/>
      <c r="AT810" s="146"/>
      <c r="AU810" s="146"/>
      <c r="AV810" s="145"/>
      <c r="AW810" s="145"/>
      <c r="AX810" s="145"/>
      <c r="AY810" s="145"/>
      <c r="AZ810" s="145"/>
      <c r="BA810" s="145"/>
      <c r="BB810" s="145"/>
      <c r="BC810" s="145"/>
      <c r="BD810" s="145"/>
    </row>
    <row r="811" spans="1:56" ht="18.75" customHeight="1" x14ac:dyDescent="0.55000000000000004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  <c r="AC811" s="145"/>
      <c r="AD811" s="145"/>
      <c r="AE811" s="145"/>
      <c r="AF811" s="145"/>
      <c r="AG811" s="145"/>
      <c r="AH811" s="145"/>
      <c r="AI811" s="145"/>
      <c r="AJ811" s="145"/>
      <c r="AK811" s="145"/>
      <c r="AL811" s="145"/>
      <c r="AM811" s="145"/>
      <c r="AN811" s="145"/>
      <c r="AO811" s="145"/>
      <c r="AP811" s="145"/>
      <c r="AQ811" s="145"/>
      <c r="AR811" s="145"/>
      <c r="AS811" s="145"/>
      <c r="AT811" s="146"/>
      <c r="AU811" s="146"/>
      <c r="AV811" s="145"/>
      <c r="AW811" s="145"/>
      <c r="AX811" s="145"/>
      <c r="AY811" s="145"/>
      <c r="AZ811" s="145"/>
      <c r="BA811" s="145"/>
      <c r="BB811" s="145"/>
      <c r="BC811" s="145"/>
      <c r="BD811" s="145"/>
    </row>
    <row r="812" spans="1:56" ht="18.75" customHeight="1" x14ac:dyDescent="0.55000000000000004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  <c r="AC812" s="145"/>
      <c r="AD812" s="145"/>
      <c r="AE812" s="145"/>
      <c r="AF812" s="145"/>
      <c r="AG812" s="145"/>
      <c r="AH812" s="145"/>
      <c r="AI812" s="145"/>
      <c r="AJ812" s="145"/>
      <c r="AK812" s="145"/>
      <c r="AL812" s="145"/>
      <c r="AM812" s="145"/>
      <c r="AN812" s="145"/>
      <c r="AO812" s="145"/>
      <c r="AP812" s="145"/>
      <c r="AQ812" s="145"/>
      <c r="AR812" s="145"/>
      <c r="AS812" s="145"/>
      <c r="AT812" s="146"/>
      <c r="AU812" s="146"/>
      <c r="AV812" s="145"/>
      <c r="AW812" s="145"/>
      <c r="AX812" s="145"/>
      <c r="AY812" s="145"/>
      <c r="AZ812" s="145"/>
      <c r="BA812" s="145"/>
      <c r="BB812" s="145"/>
      <c r="BC812" s="145"/>
      <c r="BD812" s="145"/>
    </row>
    <row r="813" spans="1:56" ht="18.75" customHeight="1" x14ac:dyDescent="0.55000000000000004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  <c r="AC813" s="145"/>
      <c r="AD813" s="145"/>
      <c r="AE813" s="145"/>
      <c r="AF813" s="145"/>
      <c r="AG813" s="145"/>
      <c r="AH813" s="145"/>
      <c r="AI813" s="145"/>
      <c r="AJ813" s="145"/>
      <c r="AK813" s="145"/>
      <c r="AL813" s="145"/>
      <c r="AM813" s="145"/>
      <c r="AN813" s="145"/>
      <c r="AO813" s="145"/>
      <c r="AP813" s="145"/>
      <c r="AQ813" s="145"/>
      <c r="AR813" s="145"/>
      <c r="AS813" s="145"/>
      <c r="AT813" s="146"/>
      <c r="AU813" s="146"/>
      <c r="AV813" s="145"/>
      <c r="AW813" s="145"/>
      <c r="AX813" s="145"/>
      <c r="AY813" s="145"/>
      <c r="AZ813" s="145"/>
      <c r="BA813" s="145"/>
      <c r="BB813" s="145"/>
      <c r="BC813" s="145"/>
      <c r="BD813" s="145"/>
    </row>
    <row r="814" spans="1:56" ht="18.75" customHeight="1" x14ac:dyDescent="0.55000000000000004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  <c r="AC814" s="145"/>
      <c r="AD814" s="145"/>
      <c r="AE814" s="145"/>
      <c r="AF814" s="145"/>
      <c r="AG814" s="145"/>
      <c r="AH814" s="145"/>
      <c r="AI814" s="145"/>
      <c r="AJ814" s="145"/>
      <c r="AK814" s="145"/>
      <c r="AL814" s="145"/>
      <c r="AM814" s="145"/>
      <c r="AN814" s="145"/>
      <c r="AO814" s="145"/>
      <c r="AP814" s="145"/>
      <c r="AQ814" s="145"/>
      <c r="AR814" s="145"/>
      <c r="AS814" s="145"/>
      <c r="AT814" s="146"/>
      <c r="AU814" s="146"/>
      <c r="AV814" s="145"/>
      <c r="AW814" s="145"/>
      <c r="AX814" s="145"/>
      <c r="AY814" s="145"/>
      <c r="AZ814" s="145"/>
      <c r="BA814" s="145"/>
      <c r="BB814" s="145"/>
      <c r="BC814" s="145"/>
      <c r="BD814" s="145"/>
    </row>
    <row r="815" spans="1:56" ht="18.75" customHeight="1" x14ac:dyDescent="0.55000000000000004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  <c r="AC815" s="145"/>
      <c r="AD815" s="145"/>
      <c r="AE815" s="145"/>
      <c r="AF815" s="145"/>
      <c r="AG815" s="145"/>
      <c r="AH815" s="145"/>
      <c r="AI815" s="145"/>
      <c r="AJ815" s="145"/>
      <c r="AK815" s="145"/>
      <c r="AL815" s="145"/>
      <c r="AM815" s="145"/>
      <c r="AN815" s="145"/>
      <c r="AO815" s="145"/>
      <c r="AP815" s="145"/>
      <c r="AQ815" s="145"/>
      <c r="AR815" s="145"/>
      <c r="AS815" s="145"/>
      <c r="AT815" s="146"/>
      <c r="AU815" s="146"/>
      <c r="AV815" s="145"/>
      <c r="AW815" s="145"/>
      <c r="AX815" s="145"/>
      <c r="AY815" s="145"/>
      <c r="AZ815" s="145"/>
      <c r="BA815" s="145"/>
      <c r="BB815" s="145"/>
      <c r="BC815" s="145"/>
      <c r="BD815" s="145"/>
    </row>
    <row r="816" spans="1:56" ht="18.75" customHeight="1" x14ac:dyDescent="0.55000000000000004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  <c r="AC816" s="145"/>
      <c r="AD816" s="145"/>
      <c r="AE816" s="145"/>
      <c r="AF816" s="145"/>
      <c r="AG816" s="145"/>
      <c r="AH816" s="145"/>
      <c r="AI816" s="145"/>
      <c r="AJ816" s="145"/>
      <c r="AK816" s="145"/>
      <c r="AL816" s="145"/>
      <c r="AM816" s="145"/>
      <c r="AN816" s="145"/>
      <c r="AO816" s="145"/>
      <c r="AP816" s="145"/>
      <c r="AQ816" s="145"/>
      <c r="AR816" s="145"/>
      <c r="AS816" s="145"/>
      <c r="AT816" s="146"/>
      <c r="AU816" s="146"/>
      <c r="AV816" s="145"/>
      <c r="AW816" s="145"/>
      <c r="AX816" s="145"/>
      <c r="AY816" s="145"/>
      <c r="AZ816" s="145"/>
      <c r="BA816" s="145"/>
      <c r="BB816" s="145"/>
      <c r="BC816" s="145"/>
      <c r="BD816" s="145"/>
    </row>
    <row r="817" spans="1:56" ht="18.75" customHeight="1" x14ac:dyDescent="0.55000000000000004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  <c r="AC817" s="145"/>
      <c r="AD817" s="145"/>
      <c r="AE817" s="145"/>
      <c r="AF817" s="145"/>
      <c r="AG817" s="145"/>
      <c r="AH817" s="145"/>
      <c r="AI817" s="145"/>
      <c r="AJ817" s="145"/>
      <c r="AK817" s="145"/>
      <c r="AL817" s="145"/>
      <c r="AM817" s="145"/>
      <c r="AN817" s="145"/>
      <c r="AO817" s="145"/>
      <c r="AP817" s="145"/>
      <c r="AQ817" s="145"/>
      <c r="AR817" s="145"/>
      <c r="AS817" s="145"/>
      <c r="AT817" s="146"/>
      <c r="AU817" s="146"/>
      <c r="AV817" s="145"/>
      <c r="AW817" s="145"/>
      <c r="AX817" s="145"/>
      <c r="AY817" s="145"/>
      <c r="AZ817" s="145"/>
      <c r="BA817" s="145"/>
      <c r="BB817" s="145"/>
      <c r="BC817" s="145"/>
      <c r="BD817" s="145"/>
    </row>
    <row r="818" spans="1:56" ht="18.75" customHeight="1" x14ac:dyDescent="0.55000000000000004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  <c r="AC818" s="145"/>
      <c r="AD818" s="145"/>
      <c r="AE818" s="145"/>
      <c r="AF818" s="145"/>
      <c r="AG818" s="145"/>
      <c r="AH818" s="145"/>
      <c r="AI818" s="145"/>
      <c r="AJ818" s="145"/>
      <c r="AK818" s="145"/>
      <c r="AL818" s="145"/>
      <c r="AM818" s="145"/>
      <c r="AN818" s="145"/>
      <c r="AO818" s="145"/>
      <c r="AP818" s="145"/>
      <c r="AQ818" s="145"/>
      <c r="AR818" s="145"/>
      <c r="AS818" s="145"/>
      <c r="AT818" s="146"/>
      <c r="AU818" s="146"/>
      <c r="AV818" s="145"/>
      <c r="AW818" s="145"/>
      <c r="AX818" s="145"/>
      <c r="AY818" s="145"/>
      <c r="AZ818" s="145"/>
      <c r="BA818" s="145"/>
      <c r="BB818" s="145"/>
      <c r="BC818" s="145"/>
      <c r="BD818" s="145"/>
    </row>
    <row r="819" spans="1:56" ht="18.75" customHeight="1" x14ac:dyDescent="0.55000000000000004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  <c r="AC819" s="145"/>
      <c r="AD819" s="145"/>
      <c r="AE819" s="145"/>
      <c r="AF819" s="145"/>
      <c r="AG819" s="145"/>
      <c r="AH819" s="145"/>
      <c r="AI819" s="145"/>
      <c r="AJ819" s="145"/>
      <c r="AK819" s="145"/>
      <c r="AL819" s="145"/>
      <c r="AM819" s="145"/>
      <c r="AN819" s="145"/>
      <c r="AO819" s="145"/>
      <c r="AP819" s="145"/>
      <c r="AQ819" s="145"/>
      <c r="AR819" s="145"/>
      <c r="AS819" s="145"/>
      <c r="AT819" s="146"/>
      <c r="AU819" s="146"/>
      <c r="AV819" s="145"/>
      <c r="AW819" s="145"/>
      <c r="AX819" s="145"/>
      <c r="AY819" s="145"/>
      <c r="AZ819" s="145"/>
      <c r="BA819" s="145"/>
      <c r="BB819" s="145"/>
      <c r="BC819" s="145"/>
      <c r="BD819" s="145"/>
    </row>
    <row r="820" spans="1:56" ht="18.75" customHeight="1" x14ac:dyDescent="0.55000000000000004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  <c r="AC820" s="145"/>
      <c r="AD820" s="145"/>
      <c r="AE820" s="145"/>
      <c r="AF820" s="145"/>
      <c r="AG820" s="145"/>
      <c r="AH820" s="145"/>
      <c r="AI820" s="145"/>
      <c r="AJ820" s="145"/>
      <c r="AK820" s="145"/>
      <c r="AL820" s="145"/>
      <c r="AM820" s="145"/>
      <c r="AN820" s="145"/>
      <c r="AO820" s="145"/>
      <c r="AP820" s="145"/>
      <c r="AQ820" s="145"/>
      <c r="AR820" s="145"/>
      <c r="AS820" s="145"/>
      <c r="AT820" s="146"/>
      <c r="AU820" s="146"/>
      <c r="AV820" s="145"/>
      <c r="AW820" s="145"/>
      <c r="AX820" s="145"/>
      <c r="AY820" s="145"/>
      <c r="AZ820" s="145"/>
      <c r="BA820" s="145"/>
      <c r="BB820" s="145"/>
      <c r="BC820" s="145"/>
      <c r="BD820" s="145"/>
    </row>
    <row r="821" spans="1:56" ht="18.75" customHeight="1" x14ac:dyDescent="0.55000000000000004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  <c r="AC821" s="145"/>
      <c r="AD821" s="145"/>
      <c r="AE821" s="145"/>
      <c r="AF821" s="145"/>
      <c r="AG821" s="145"/>
      <c r="AH821" s="145"/>
      <c r="AI821" s="145"/>
      <c r="AJ821" s="145"/>
      <c r="AK821" s="145"/>
      <c r="AL821" s="145"/>
      <c r="AM821" s="145"/>
      <c r="AN821" s="145"/>
      <c r="AO821" s="145"/>
      <c r="AP821" s="145"/>
      <c r="AQ821" s="145"/>
      <c r="AR821" s="145"/>
      <c r="AS821" s="145"/>
      <c r="AT821" s="146"/>
      <c r="AU821" s="146"/>
      <c r="AV821" s="145"/>
      <c r="AW821" s="145"/>
      <c r="AX821" s="145"/>
      <c r="AY821" s="145"/>
      <c r="AZ821" s="145"/>
      <c r="BA821" s="145"/>
      <c r="BB821" s="145"/>
      <c r="BC821" s="145"/>
      <c r="BD821" s="145"/>
    </row>
    <row r="822" spans="1:56" ht="18.75" customHeight="1" x14ac:dyDescent="0.55000000000000004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  <c r="AC822" s="145"/>
      <c r="AD822" s="145"/>
      <c r="AE822" s="145"/>
      <c r="AF822" s="145"/>
      <c r="AG822" s="145"/>
      <c r="AH822" s="145"/>
      <c r="AI822" s="145"/>
      <c r="AJ822" s="145"/>
      <c r="AK822" s="145"/>
      <c r="AL822" s="145"/>
      <c r="AM822" s="145"/>
      <c r="AN822" s="145"/>
      <c r="AO822" s="145"/>
      <c r="AP822" s="145"/>
      <c r="AQ822" s="145"/>
      <c r="AR822" s="145"/>
      <c r="AS822" s="145"/>
      <c r="AT822" s="146"/>
      <c r="AU822" s="146"/>
      <c r="AV822" s="145"/>
      <c r="AW822" s="145"/>
      <c r="AX822" s="145"/>
      <c r="AY822" s="145"/>
      <c r="AZ822" s="145"/>
      <c r="BA822" s="145"/>
      <c r="BB822" s="145"/>
      <c r="BC822" s="145"/>
      <c r="BD822" s="145"/>
    </row>
    <row r="823" spans="1:56" ht="18.75" customHeight="1" x14ac:dyDescent="0.55000000000000004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  <c r="AC823" s="145"/>
      <c r="AD823" s="145"/>
      <c r="AE823" s="145"/>
      <c r="AF823" s="145"/>
      <c r="AG823" s="145"/>
      <c r="AH823" s="145"/>
      <c r="AI823" s="145"/>
      <c r="AJ823" s="145"/>
      <c r="AK823" s="145"/>
      <c r="AL823" s="145"/>
      <c r="AM823" s="145"/>
      <c r="AN823" s="145"/>
      <c r="AO823" s="145"/>
      <c r="AP823" s="145"/>
      <c r="AQ823" s="145"/>
      <c r="AR823" s="145"/>
      <c r="AS823" s="145"/>
      <c r="AT823" s="146"/>
      <c r="AU823" s="146"/>
      <c r="AV823" s="145"/>
      <c r="AW823" s="145"/>
      <c r="AX823" s="145"/>
      <c r="AY823" s="145"/>
      <c r="AZ823" s="145"/>
      <c r="BA823" s="145"/>
      <c r="BB823" s="145"/>
      <c r="BC823" s="145"/>
      <c r="BD823" s="145"/>
    </row>
    <row r="824" spans="1:56" ht="18.75" customHeight="1" x14ac:dyDescent="0.55000000000000004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  <c r="AC824" s="145"/>
      <c r="AD824" s="145"/>
      <c r="AE824" s="145"/>
      <c r="AF824" s="145"/>
      <c r="AG824" s="145"/>
      <c r="AH824" s="145"/>
      <c r="AI824" s="145"/>
      <c r="AJ824" s="145"/>
      <c r="AK824" s="145"/>
      <c r="AL824" s="145"/>
      <c r="AM824" s="145"/>
      <c r="AN824" s="145"/>
      <c r="AO824" s="145"/>
      <c r="AP824" s="145"/>
      <c r="AQ824" s="145"/>
      <c r="AR824" s="145"/>
      <c r="AS824" s="145"/>
      <c r="AT824" s="146"/>
      <c r="AU824" s="146"/>
      <c r="AV824" s="145"/>
      <c r="AW824" s="145"/>
      <c r="AX824" s="145"/>
      <c r="AY824" s="145"/>
      <c r="AZ824" s="145"/>
      <c r="BA824" s="145"/>
      <c r="BB824" s="145"/>
      <c r="BC824" s="145"/>
      <c r="BD824" s="145"/>
    </row>
    <row r="825" spans="1:56" ht="18.75" customHeight="1" x14ac:dyDescent="0.55000000000000004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  <c r="AC825" s="145"/>
      <c r="AD825" s="145"/>
      <c r="AE825" s="145"/>
      <c r="AF825" s="145"/>
      <c r="AG825" s="145"/>
      <c r="AH825" s="145"/>
      <c r="AI825" s="145"/>
      <c r="AJ825" s="145"/>
      <c r="AK825" s="145"/>
      <c r="AL825" s="145"/>
      <c r="AM825" s="145"/>
      <c r="AN825" s="145"/>
      <c r="AO825" s="145"/>
      <c r="AP825" s="145"/>
      <c r="AQ825" s="145"/>
      <c r="AR825" s="145"/>
      <c r="AS825" s="145"/>
      <c r="AT825" s="146"/>
      <c r="AU825" s="146"/>
      <c r="AV825" s="145"/>
      <c r="AW825" s="145"/>
      <c r="AX825" s="145"/>
      <c r="AY825" s="145"/>
      <c r="AZ825" s="145"/>
      <c r="BA825" s="145"/>
      <c r="BB825" s="145"/>
      <c r="BC825" s="145"/>
      <c r="BD825" s="145"/>
    </row>
    <row r="826" spans="1:56" ht="18.75" customHeight="1" x14ac:dyDescent="0.55000000000000004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  <c r="AC826" s="145"/>
      <c r="AD826" s="145"/>
      <c r="AE826" s="145"/>
      <c r="AF826" s="145"/>
      <c r="AG826" s="145"/>
      <c r="AH826" s="145"/>
      <c r="AI826" s="145"/>
      <c r="AJ826" s="145"/>
      <c r="AK826" s="145"/>
      <c r="AL826" s="145"/>
      <c r="AM826" s="145"/>
      <c r="AN826" s="145"/>
      <c r="AO826" s="145"/>
      <c r="AP826" s="145"/>
      <c r="AQ826" s="145"/>
      <c r="AR826" s="145"/>
      <c r="AS826" s="145"/>
      <c r="AT826" s="146"/>
      <c r="AU826" s="146"/>
      <c r="AV826" s="145"/>
      <c r="AW826" s="145"/>
      <c r="AX826" s="145"/>
      <c r="AY826" s="145"/>
      <c r="AZ826" s="145"/>
      <c r="BA826" s="145"/>
      <c r="BB826" s="145"/>
      <c r="BC826" s="145"/>
      <c r="BD826" s="145"/>
    </row>
    <row r="827" spans="1:56" ht="18.75" customHeight="1" x14ac:dyDescent="0.55000000000000004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  <c r="AC827" s="145"/>
      <c r="AD827" s="145"/>
      <c r="AE827" s="145"/>
      <c r="AF827" s="145"/>
      <c r="AG827" s="145"/>
      <c r="AH827" s="145"/>
      <c r="AI827" s="145"/>
      <c r="AJ827" s="145"/>
      <c r="AK827" s="145"/>
      <c r="AL827" s="145"/>
      <c r="AM827" s="145"/>
      <c r="AN827" s="145"/>
      <c r="AO827" s="145"/>
      <c r="AP827" s="145"/>
      <c r="AQ827" s="145"/>
      <c r="AR827" s="145"/>
      <c r="AS827" s="145"/>
      <c r="AT827" s="146"/>
      <c r="AU827" s="146"/>
      <c r="AV827" s="145"/>
      <c r="AW827" s="145"/>
      <c r="AX827" s="145"/>
      <c r="AY827" s="145"/>
      <c r="AZ827" s="145"/>
      <c r="BA827" s="145"/>
      <c r="BB827" s="145"/>
      <c r="BC827" s="145"/>
      <c r="BD827" s="145"/>
    </row>
    <row r="828" spans="1:56" ht="18.75" customHeight="1" x14ac:dyDescent="0.55000000000000004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  <c r="AC828" s="145"/>
      <c r="AD828" s="145"/>
      <c r="AE828" s="145"/>
      <c r="AF828" s="145"/>
      <c r="AG828" s="145"/>
      <c r="AH828" s="145"/>
      <c r="AI828" s="145"/>
      <c r="AJ828" s="145"/>
      <c r="AK828" s="145"/>
      <c r="AL828" s="145"/>
      <c r="AM828" s="145"/>
      <c r="AN828" s="145"/>
      <c r="AO828" s="145"/>
      <c r="AP828" s="145"/>
      <c r="AQ828" s="145"/>
      <c r="AR828" s="145"/>
      <c r="AS828" s="145"/>
      <c r="AT828" s="146"/>
      <c r="AU828" s="146"/>
      <c r="AV828" s="145"/>
      <c r="AW828" s="145"/>
      <c r="AX828" s="145"/>
      <c r="AY828" s="145"/>
      <c r="AZ828" s="145"/>
      <c r="BA828" s="145"/>
      <c r="BB828" s="145"/>
      <c r="BC828" s="145"/>
      <c r="BD828" s="145"/>
    </row>
    <row r="829" spans="1:56" ht="18.75" customHeight="1" x14ac:dyDescent="0.55000000000000004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  <c r="AC829" s="145"/>
      <c r="AD829" s="145"/>
      <c r="AE829" s="145"/>
      <c r="AF829" s="145"/>
      <c r="AG829" s="145"/>
      <c r="AH829" s="145"/>
      <c r="AI829" s="145"/>
      <c r="AJ829" s="145"/>
      <c r="AK829" s="145"/>
      <c r="AL829" s="145"/>
      <c r="AM829" s="145"/>
      <c r="AN829" s="145"/>
      <c r="AO829" s="145"/>
      <c r="AP829" s="145"/>
      <c r="AQ829" s="145"/>
      <c r="AR829" s="145"/>
      <c r="AS829" s="145"/>
      <c r="AT829" s="146"/>
      <c r="AU829" s="146"/>
      <c r="AV829" s="145"/>
      <c r="AW829" s="145"/>
      <c r="AX829" s="145"/>
      <c r="AY829" s="145"/>
      <c r="AZ829" s="145"/>
      <c r="BA829" s="145"/>
      <c r="BB829" s="145"/>
      <c r="BC829" s="145"/>
      <c r="BD829" s="145"/>
    </row>
    <row r="830" spans="1:56" ht="18.75" customHeight="1" x14ac:dyDescent="0.55000000000000004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  <c r="AC830" s="145"/>
      <c r="AD830" s="145"/>
      <c r="AE830" s="145"/>
      <c r="AF830" s="145"/>
      <c r="AG830" s="145"/>
      <c r="AH830" s="145"/>
      <c r="AI830" s="145"/>
      <c r="AJ830" s="145"/>
      <c r="AK830" s="145"/>
      <c r="AL830" s="145"/>
      <c r="AM830" s="145"/>
      <c r="AN830" s="145"/>
      <c r="AO830" s="145"/>
      <c r="AP830" s="145"/>
      <c r="AQ830" s="145"/>
      <c r="AR830" s="145"/>
      <c r="AS830" s="145"/>
      <c r="AT830" s="146"/>
      <c r="AU830" s="146"/>
      <c r="AV830" s="145"/>
      <c r="AW830" s="145"/>
      <c r="AX830" s="145"/>
      <c r="AY830" s="145"/>
      <c r="AZ830" s="145"/>
      <c r="BA830" s="145"/>
      <c r="BB830" s="145"/>
      <c r="BC830" s="145"/>
      <c r="BD830" s="145"/>
    </row>
    <row r="831" spans="1:56" ht="18.75" customHeight="1" x14ac:dyDescent="0.55000000000000004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  <c r="AC831" s="145"/>
      <c r="AD831" s="145"/>
      <c r="AE831" s="145"/>
      <c r="AF831" s="145"/>
      <c r="AG831" s="145"/>
      <c r="AH831" s="145"/>
      <c r="AI831" s="145"/>
      <c r="AJ831" s="145"/>
      <c r="AK831" s="145"/>
      <c r="AL831" s="145"/>
      <c r="AM831" s="145"/>
      <c r="AN831" s="145"/>
      <c r="AO831" s="145"/>
      <c r="AP831" s="145"/>
      <c r="AQ831" s="145"/>
      <c r="AR831" s="145"/>
      <c r="AS831" s="145"/>
      <c r="AT831" s="146"/>
      <c r="AU831" s="146"/>
      <c r="AV831" s="145"/>
      <c r="AW831" s="145"/>
      <c r="AX831" s="145"/>
      <c r="AY831" s="145"/>
      <c r="AZ831" s="145"/>
      <c r="BA831" s="145"/>
      <c r="BB831" s="145"/>
      <c r="BC831" s="145"/>
      <c r="BD831" s="145"/>
    </row>
    <row r="832" spans="1:56" ht="18.75" customHeight="1" x14ac:dyDescent="0.55000000000000004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  <c r="AC832" s="145"/>
      <c r="AD832" s="145"/>
      <c r="AE832" s="145"/>
      <c r="AF832" s="145"/>
      <c r="AG832" s="145"/>
      <c r="AH832" s="145"/>
      <c r="AI832" s="145"/>
      <c r="AJ832" s="145"/>
      <c r="AK832" s="145"/>
      <c r="AL832" s="145"/>
      <c r="AM832" s="145"/>
      <c r="AN832" s="145"/>
      <c r="AO832" s="145"/>
      <c r="AP832" s="145"/>
      <c r="AQ832" s="145"/>
      <c r="AR832" s="145"/>
      <c r="AS832" s="145"/>
      <c r="AT832" s="146"/>
      <c r="AU832" s="146"/>
      <c r="AV832" s="145"/>
      <c r="AW832" s="145"/>
      <c r="AX832" s="145"/>
      <c r="AY832" s="145"/>
      <c r="AZ832" s="145"/>
      <c r="BA832" s="145"/>
      <c r="BB832" s="145"/>
      <c r="BC832" s="145"/>
      <c r="BD832" s="145"/>
    </row>
    <row r="833" spans="1:56" ht="18.75" customHeight="1" x14ac:dyDescent="0.55000000000000004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  <c r="AC833" s="145"/>
      <c r="AD833" s="145"/>
      <c r="AE833" s="145"/>
      <c r="AF833" s="145"/>
      <c r="AG833" s="145"/>
      <c r="AH833" s="145"/>
      <c r="AI833" s="145"/>
      <c r="AJ833" s="145"/>
      <c r="AK833" s="145"/>
      <c r="AL833" s="145"/>
      <c r="AM833" s="145"/>
      <c r="AN833" s="145"/>
      <c r="AO833" s="145"/>
      <c r="AP833" s="145"/>
      <c r="AQ833" s="145"/>
      <c r="AR833" s="145"/>
      <c r="AS833" s="145"/>
      <c r="AT833" s="146"/>
      <c r="AU833" s="146"/>
      <c r="AV833" s="145"/>
      <c r="AW833" s="145"/>
      <c r="AX833" s="145"/>
      <c r="AY833" s="145"/>
      <c r="AZ833" s="145"/>
      <c r="BA833" s="145"/>
      <c r="BB833" s="145"/>
      <c r="BC833" s="145"/>
      <c r="BD833" s="145"/>
    </row>
    <row r="834" spans="1:56" ht="18.75" customHeight="1" x14ac:dyDescent="0.55000000000000004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  <c r="AC834" s="145"/>
      <c r="AD834" s="145"/>
      <c r="AE834" s="145"/>
      <c r="AF834" s="145"/>
      <c r="AG834" s="145"/>
      <c r="AH834" s="145"/>
      <c r="AI834" s="145"/>
      <c r="AJ834" s="145"/>
      <c r="AK834" s="145"/>
      <c r="AL834" s="145"/>
      <c r="AM834" s="145"/>
      <c r="AN834" s="145"/>
      <c r="AO834" s="145"/>
      <c r="AP834" s="145"/>
      <c r="AQ834" s="145"/>
      <c r="AR834" s="145"/>
      <c r="AS834" s="145"/>
      <c r="AT834" s="146"/>
      <c r="AU834" s="146"/>
      <c r="AV834" s="145"/>
      <c r="AW834" s="145"/>
      <c r="AX834" s="145"/>
      <c r="AY834" s="145"/>
      <c r="AZ834" s="145"/>
      <c r="BA834" s="145"/>
      <c r="BB834" s="145"/>
      <c r="BC834" s="145"/>
      <c r="BD834" s="145"/>
    </row>
    <row r="835" spans="1:56" ht="18.75" customHeight="1" x14ac:dyDescent="0.55000000000000004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  <c r="AC835" s="145"/>
      <c r="AD835" s="145"/>
      <c r="AE835" s="145"/>
      <c r="AF835" s="145"/>
      <c r="AG835" s="145"/>
      <c r="AH835" s="145"/>
      <c r="AI835" s="145"/>
      <c r="AJ835" s="145"/>
      <c r="AK835" s="145"/>
      <c r="AL835" s="145"/>
      <c r="AM835" s="145"/>
      <c r="AN835" s="145"/>
      <c r="AO835" s="145"/>
      <c r="AP835" s="145"/>
      <c r="AQ835" s="145"/>
      <c r="AR835" s="145"/>
      <c r="AS835" s="145"/>
      <c r="AT835" s="146"/>
      <c r="AU835" s="146"/>
      <c r="AV835" s="145"/>
      <c r="AW835" s="145"/>
      <c r="AX835" s="145"/>
      <c r="AY835" s="145"/>
      <c r="AZ835" s="145"/>
      <c r="BA835" s="145"/>
      <c r="BB835" s="145"/>
      <c r="BC835" s="145"/>
      <c r="BD835" s="145"/>
    </row>
    <row r="836" spans="1:56" ht="18.75" customHeight="1" x14ac:dyDescent="0.55000000000000004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  <c r="AC836" s="145"/>
      <c r="AD836" s="145"/>
      <c r="AE836" s="145"/>
      <c r="AF836" s="145"/>
      <c r="AG836" s="145"/>
      <c r="AH836" s="145"/>
      <c r="AI836" s="145"/>
      <c r="AJ836" s="145"/>
      <c r="AK836" s="145"/>
      <c r="AL836" s="145"/>
      <c r="AM836" s="145"/>
      <c r="AN836" s="145"/>
      <c r="AO836" s="145"/>
      <c r="AP836" s="145"/>
      <c r="AQ836" s="145"/>
      <c r="AR836" s="145"/>
      <c r="AS836" s="145"/>
      <c r="AT836" s="146"/>
      <c r="AU836" s="146"/>
      <c r="AV836" s="145"/>
      <c r="AW836" s="145"/>
      <c r="AX836" s="145"/>
      <c r="AY836" s="145"/>
      <c r="AZ836" s="145"/>
      <c r="BA836" s="145"/>
      <c r="BB836" s="145"/>
      <c r="BC836" s="145"/>
      <c r="BD836" s="145"/>
    </row>
    <row r="837" spans="1:56" ht="18.75" customHeight="1" x14ac:dyDescent="0.55000000000000004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  <c r="AC837" s="145"/>
      <c r="AD837" s="145"/>
      <c r="AE837" s="145"/>
      <c r="AF837" s="145"/>
      <c r="AG837" s="145"/>
      <c r="AH837" s="145"/>
      <c r="AI837" s="145"/>
      <c r="AJ837" s="145"/>
      <c r="AK837" s="145"/>
      <c r="AL837" s="145"/>
      <c r="AM837" s="145"/>
      <c r="AN837" s="145"/>
      <c r="AO837" s="145"/>
      <c r="AP837" s="145"/>
      <c r="AQ837" s="145"/>
      <c r="AR837" s="145"/>
      <c r="AS837" s="145"/>
      <c r="AT837" s="146"/>
      <c r="AU837" s="146"/>
      <c r="AV837" s="145"/>
      <c r="AW837" s="145"/>
      <c r="AX837" s="145"/>
      <c r="AY837" s="145"/>
      <c r="AZ837" s="145"/>
      <c r="BA837" s="145"/>
      <c r="BB837" s="145"/>
      <c r="BC837" s="145"/>
      <c r="BD837" s="145"/>
    </row>
    <row r="838" spans="1:56" ht="18.75" customHeight="1" x14ac:dyDescent="0.55000000000000004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  <c r="AC838" s="145"/>
      <c r="AD838" s="145"/>
      <c r="AE838" s="145"/>
      <c r="AF838" s="145"/>
      <c r="AG838" s="145"/>
      <c r="AH838" s="145"/>
      <c r="AI838" s="145"/>
      <c r="AJ838" s="145"/>
      <c r="AK838" s="145"/>
      <c r="AL838" s="145"/>
      <c r="AM838" s="145"/>
      <c r="AN838" s="145"/>
      <c r="AO838" s="145"/>
      <c r="AP838" s="145"/>
      <c r="AQ838" s="145"/>
      <c r="AR838" s="145"/>
      <c r="AS838" s="145"/>
      <c r="AT838" s="146"/>
      <c r="AU838" s="146"/>
      <c r="AV838" s="145"/>
      <c r="AW838" s="145"/>
      <c r="AX838" s="145"/>
      <c r="AY838" s="145"/>
      <c r="AZ838" s="145"/>
      <c r="BA838" s="145"/>
      <c r="BB838" s="145"/>
      <c r="BC838" s="145"/>
      <c r="BD838" s="145"/>
    </row>
    <row r="839" spans="1:56" ht="18.75" customHeight="1" x14ac:dyDescent="0.55000000000000004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  <c r="AC839" s="145"/>
      <c r="AD839" s="145"/>
      <c r="AE839" s="145"/>
      <c r="AF839" s="145"/>
      <c r="AG839" s="145"/>
      <c r="AH839" s="145"/>
      <c r="AI839" s="145"/>
      <c r="AJ839" s="145"/>
      <c r="AK839" s="145"/>
      <c r="AL839" s="145"/>
      <c r="AM839" s="145"/>
      <c r="AN839" s="145"/>
      <c r="AO839" s="145"/>
      <c r="AP839" s="145"/>
      <c r="AQ839" s="145"/>
      <c r="AR839" s="145"/>
      <c r="AS839" s="145"/>
      <c r="AT839" s="146"/>
      <c r="AU839" s="146"/>
      <c r="AV839" s="145"/>
      <c r="AW839" s="145"/>
      <c r="AX839" s="145"/>
      <c r="AY839" s="145"/>
      <c r="AZ839" s="145"/>
      <c r="BA839" s="145"/>
      <c r="BB839" s="145"/>
      <c r="BC839" s="145"/>
      <c r="BD839" s="145"/>
    </row>
    <row r="840" spans="1:56" ht="18.75" customHeight="1" x14ac:dyDescent="0.55000000000000004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  <c r="AC840" s="145"/>
      <c r="AD840" s="145"/>
      <c r="AE840" s="145"/>
      <c r="AF840" s="145"/>
      <c r="AG840" s="145"/>
      <c r="AH840" s="145"/>
      <c r="AI840" s="145"/>
      <c r="AJ840" s="145"/>
      <c r="AK840" s="145"/>
      <c r="AL840" s="145"/>
      <c r="AM840" s="145"/>
      <c r="AN840" s="145"/>
      <c r="AO840" s="145"/>
      <c r="AP840" s="145"/>
      <c r="AQ840" s="145"/>
      <c r="AR840" s="145"/>
      <c r="AS840" s="145"/>
      <c r="AT840" s="146"/>
      <c r="AU840" s="146"/>
      <c r="AV840" s="145"/>
      <c r="AW840" s="145"/>
      <c r="AX840" s="145"/>
      <c r="AY840" s="145"/>
      <c r="AZ840" s="145"/>
      <c r="BA840" s="145"/>
      <c r="BB840" s="145"/>
      <c r="BC840" s="145"/>
      <c r="BD840" s="145"/>
    </row>
    <row r="841" spans="1:56" ht="18.75" customHeight="1" x14ac:dyDescent="0.55000000000000004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  <c r="AC841" s="145"/>
      <c r="AD841" s="145"/>
      <c r="AE841" s="145"/>
      <c r="AF841" s="145"/>
      <c r="AG841" s="145"/>
      <c r="AH841" s="145"/>
      <c r="AI841" s="145"/>
      <c r="AJ841" s="145"/>
      <c r="AK841" s="145"/>
      <c r="AL841" s="145"/>
      <c r="AM841" s="145"/>
      <c r="AN841" s="145"/>
      <c r="AO841" s="145"/>
      <c r="AP841" s="145"/>
      <c r="AQ841" s="145"/>
      <c r="AR841" s="145"/>
      <c r="AS841" s="145"/>
      <c r="AT841" s="146"/>
      <c r="AU841" s="146"/>
      <c r="AV841" s="145"/>
      <c r="AW841" s="145"/>
      <c r="AX841" s="145"/>
      <c r="AY841" s="145"/>
      <c r="AZ841" s="145"/>
      <c r="BA841" s="145"/>
      <c r="BB841" s="145"/>
      <c r="BC841" s="145"/>
      <c r="BD841" s="145"/>
    </row>
    <row r="842" spans="1:56" ht="18.75" customHeight="1" x14ac:dyDescent="0.55000000000000004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  <c r="AC842" s="145"/>
      <c r="AD842" s="145"/>
      <c r="AE842" s="145"/>
      <c r="AF842" s="145"/>
      <c r="AG842" s="145"/>
      <c r="AH842" s="145"/>
      <c r="AI842" s="145"/>
      <c r="AJ842" s="145"/>
      <c r="AK842" s="145"/>
      <c r="AL842" s="145"/>
      <c r="AM842" s="145"/>
      <c r="AN842" s="145"/>
      <c r="AO842" s="145"/>
      <c r="AP842" s="145"/>
      <c r="AQ842" s="145"/>
      <c r="AR842" s="145"/>
      <c r="AS842" s="145"/>
      <c r="AT842" s="146"/>
      <c r="AU842" s="146"/>
      <c r="AV842" s="145"/>
      <c r="AW842" s="145"/>
      <c r="AX842" s="145"/>
      <c r="AY842" s="145"/>
      <c r="AZ842" s="145"/>
      <c r="BA842" s="145"/>
      <c r="BB842" s="145"/>
      <c r="BC842" s="145"/>
      <c r="BD842" s="145"/>
    </row>
    <row r="843" spans="1:56" ht="18.75" customHeight="1" x14ac:dyDescent="0.55000000000000004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  <c r="AC843" s="145"/>
      <c r="AD843" s="145"/>
      <c r="AE843" s="145"/>
      <c r="AF843" s="145"/>
      <c r="AG843" s="145"/>
      <c r="AH843" s="145"/>
      <c r="AI843" s="145"/>
      <c r="AJ843" s="145"/>
      <c r="AK843" s="145"/>
      <c r="AL843" s="145"/>
      <c r="AM843" s="145"/>
      <c r="AN843" s="145"/>
      <c r="AO843" s="145"/>
      <c r="AP843" s="145"/>
      <c r="AQ843" s="145"/>
      <c r="AR843" s="145"/>
      <c r="AS843" s="145"/>
      <c r="AT843" s="146"/>
      <c r="AU843" s="146"/>
      <c r="AV843" s="145"/>
      <c r="AW843" s="145"/>
      <c r="AX843" s="145"/>
      <c r="AY843" s="145"/>
      <c r="AZ843" s="145"/>
      <c r="BA843" s="145"/>
      <c r="BB843" s="145"/>
      <c r="BC843" s="145"/>
      <c r="BD843" s="145"/>
    </row>
    <row r="844" spans="1:56" ht="18.75" customHeight="1" x14ac:dyDescent="0.55000000000000004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  <c r="AC844" s="145"/>
      <c r="AD844" s="145"/>
      <c r="AE844" s="145"/>
      <c r="AF844" s="145"/>
      <c r="AG844" s="145"/>
      <c r="AH844" s="145"/>
      <c r="AI844" s="145"/>
      <c r="AJ844" s="145"/>
      <c r="AK844" s="145"/>
      <c r="AL844" s="145"/>
      <c r="AM844" s="145"/>
      <c r="AN844" s="145"/>
      <c r="AO844" s="145"/>
      <c r="AP844" s="145"/>
      <c r="AQ844" s="145"/>
      <c r="AR844" s="145"/>
      <c r="AS844" s="145"/>
      <c r="AT844" s="146"/>
      <c r="AU844" s="146"/>
      <c r="AV844" s="145"/>
      <c r="AW844" s="145"/>
      <c r="AX844" s="145"/>
      <c r="AY844" s="145"/>
      <c r="AZ844" s="145"/>
      <c r="BA844" s="145"/>
      <c r="BB844" s="145"/>
      <c r="BC844" s="145"/>
      <c r="BD844" s="145"/>
    </row>
    <row r="845" spans="1:56" ht="18.75" customHeight="1" x14ac:dyDescent="0.55000000000000004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  <c r="AC845" s="145"/>
      <c r="AD845" s="145"/>
      <c r="AE845" s="145"/>
      <c r="AF845" s="145"/>
      <c r="AG845" s="145"/>
      <c r="AH845" s="145"/>
      <c r="AI845" s="145"/>
      <c r="AJ845" s="145"/>
      <c r="AK845" s="145"/>
      <c r="AL845" s="145"/>
      <c r="AM845" s="145"/>
      <c r="AN845" s="145"/>
      <c r="AO845" s="145"/>
      <c r="AP845" s="145"/>
      <c r="AQ845" s="145"/>
      <c r="AR845" s="145"/>
      <c r="AS845" s="145"/>
      <c r="AT845" s="146"/>
      <c r="AU845" s="146"/>
      <c r="AV845" s="145"/>
      <c r="AW845" s="145"/>
      <c r="AX845" s="145"/>
      <c r="AY845" s="145"/>
      <c r="AZ845" s="145"/>
      <c r="BA845" s="145"/>
      <c r="BB845" s="145"/>
      <c r="BC845" s="145"/>
      <c r="BD845" s="145"/>
    </row>
    <row r="846" spans="1:56" ht="18.75" customHeight="1" x14ac:dyDescent="0.55000000000000004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  <c r="AC846" s="145"/>
      <c r="AD846" s="145"/>
      <c r="AE846" s="145"/>
      <c r="AF846" s="145"/>
      <c r="AG846" s="145"/>
      <c r="AH846" s="145"/>
      <c r="AI846" s="145"/>
      <c r="AJ846" s="145"/>
      <c r="AK846" s="145"/>
      <c r="AL846" s="145"/>
      <c r="AM846" s="145"/>
      <c r="AN846" s="145"/>
      <c r="AO846" s="145"/>
      <c r="AP846" s="145"/>
      <c r="AQ846" s="145"/>
      <c r="AR846" s="145"/>
      <c r="AS846" s="145"/>
      <c r="AT846" s="146"/>
      <c r="AU846" s="146"/>
      <c r="AV846" s="145"/>
      <c r="AW846" s="145"/>
      <c r="AX846" s="145"/>
      <c r="AY846" s="145"/>
      <c r="AZ846" s="145"/>
      <c r="BA846" s="145"/>
      <c r="BB846" s="145"/>
      <c r="BC846" s="145"/>
      <c r="BD846" s="145"/>
    </row>
    <row r="847" spans="1:56" ht="18.75" customHeight="1" x14ac:dyDescent="0.55000000000000004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  <c r="AC847" s="145"/>
      <c r="AD847" s="145"/>
      <c r="AE847" s="145"/>
      <c r="AF847" s="145"/>
      <c r="AG847" s="145"/>
      <c r="AH847" s="145"/>
      <c r="AI847" s="145"/>
      <c r="AJ847" s="145"/>
      <c r="AK847" s="145"/>
      <c r="AL847" s="145"/>
      <c r="AM847" s="145"/>
      <c r="AN847" s="145"/>
      <c r="AO847" s="145"/>
      <c r="AP847" s="145"/>
      <c r="AQ847" s="145"/>
      <c r="AR847" s="145"/>
      <c r="AS847" s="145"/>
      <c r="AT847" s="146"/>
      <c r="AU847" s="146"/>
      <c r="AV847" s="145"/>
      <c r="AW847" s="145"/>
      <c r="AX847" s="145"/>
      <c r="AY847" s="145"/>
      <c r="AZ847" s="145"/>
      <c r="BA847" s="145"/>
      <c r="BB847" s="145"/>
      <c r="BC847" s="145"/>
      <c r="BD847" s="145"/>
    </row>
    <row r="848" spans="1:56" ht="18.75" customHeight="1" x14ac:dyDescent="0.55000000000000004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  <c r="AC848" s="145"/>
      <c r="AD848" s="145"/>
      <c r="AE848" s="145"/>
      <c r="AF848" s="145"/>
      <c r="AG848" s="145"/>
      <c r="AH848" s="145"/>
      <c r="AI848" s="145"/>
      <c r="AJ848" s="145"/>
      <c r="AK848" s="145"/>
      <c r="AL848" s="145"/>
      <c r="AM848" s="145"/>
      <c r="AN848" s="145"/>
      <c r="AO848" s="145"/>
      <c r="AP848" s="145"/>
      <c r="AQ848" s="145"/>
      <c r="AR848" s="145"/>
      <c r="AS848" s="145"/>
      <c r="AT848" s="146"/>
      <c r="AU848" s="146"/>
      <c r="AV848" s="145"/>
      <c r="AW848" s="145"/>
      <c r="AX848" s="145"/>
      <c r="AY848" s="145"/>
      <c r="AZ848" s="145"/>
      <c r="BA848" s="145"/>
      <c r="BB848" s="145"/>
      <c r="BC848" s="145"/>
      <c r="BD848" s="145"/>
    </row>
    <row r="849" spans="1:56" ht="18.75" customHeight="1" x14ac:dyDescent="0.55000000000000004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  <c r="AC849" s="145"/>
      <c r="AD849" s="145"/>
      <c r="AE849" s="145"/>
      <c r="AF849" s="145"/>
      <c r="AG849" s="145"/>
      <c r="AH849" s="145"/>
      <c r="AI849" s="145"/>
      <c r="AJ849" s="145"/>
      <c r="AK849" s="145"/>
      <c r="AL849" s="145"/>
      <c r="AM849" s="145"/>
      <c r="AN849" s="145"/>
      <c r="AO849" s="145"/>
      <c r="AP849" s="145"/>
      <c r="AQ849" s="145"/>
      <c r="AR849" s="145"/>
      <c r="AS849" s="145"/>
      <c r="AT849" s="146"/>
      <c r="AU849" s="146"/>
      <c r="AV849" s="145"/>
      <c r="AW849" s="145"/>
      <c r="AX849" s="145"/>
      <c r="AY849" s="145"/>
      <c r="AZ849" s="145"/>
      <c r="BA849" s="145"/>
      <c r="BB849" s="145"/>
      <c r="BC849" s="145"/>
      <c r="BD849" s="145"/>
    </row>
    <row r="850" spans="1:56" ht="18.75" customHeight="1" x14ac:dyDescent="0.55000000000000004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  <c r="AC850" s="145"/>
      <c r="AD850" s="145"/>
      <c r="AE850" s="145"/>
      <c r="AF850" s="145"/>
      <c r="AG850" s="145"/>
      <c r="AH850" s="145"/>
      <c r="AI850" s="145"/>
      <c r="AJ850" s="145"/>
      <c r="AK850" s="145"/>
      <c r="AL850" s="145"/>
      <c r="AM850" s="145"/>
      <c r="AN850" s="145"/>
      <c r="AO850" s="145"/>
      <c r="AP850" s="145"/>
      <c r="AQ850" s="145"/>
      <c r="AR850" s="145"/>
      <c r="AS850" s="145"/>
      <c r="AT850" s="146"/>
      <c r="AU850" s="146"/>
      <c r="AV850" s="145"/>
      <c r="AW850" s="145"/>
      <c r="AX850" s="145"/>
      <c r="AY850" s="145"/>
      <c r="AZ850" s="145"/>
      <c r="BA850" s="145"/>
      <c r="BB850" s="145"/>
      <c r="BC850" s="145"/>
      <c r="BD850" s="145"/>
    </row>
    <row r="851" spans="1:56" ht="18.75" customHeight="1" x14ac:dyDescent="0.55000000000000004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  <c r="AC851" s="145"/>
      <c r="AD851" s="145"/>
      <c r="AE851" s="145"/>
      <c r="AF851" s="145"/>
      <c r="AG851" s="145"/>
      <c r="AH851" s="145"/>
      <c r="AI851" s="145"/>
      <c r="AJ851" s="145"/>
      <c r="AK851" s="145"/>
      <c r="AL851" s="145"/>
      <c r="AM851" s="145"/>
      <c r="AN851" s="145"/>
      <c r="AO851" s="145"/>
      <c r="AP851" s="145"/>
      <c r="AQ851" s="145"/>
      <c r="AR851" s="145"/>
      <c r="AS851" s="145"/>
      <c r="AT851" s="146"/>
      <c r="AU851" s="146"/>
      <c r="AV851" s="145"/>
      <c r="AW851" s="145"/>
      <c r="AX851" s="145"/>
      <c r="AY851" s="145"/>
      <c r="AZ851" s="145"/>
      <c r="BA851" s="145"/>
      <c r="BB851" s="145"/>
      <c r="BC851" s="145"/>
      <c r="BD851" s="145"/>
    </row>
    <row r="852" spans="1:56" ht="18.75" customHeight="1" x14ac:dyDescent="0.55000000000000004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  <c r="AC852" s="145"/>
      <c r="AD852" s="145"/>
      <c r="AE852" s="145"/>
      <c r="AF852" s="145"/>
      <c r="AG852" s="145"/>
      <c r="AH852" s="145"/>
      <c r="AI852" s="145"/>
      <c r="AJ852" s="145"/>
      <c r="AK852" s="145"/>
      <c r="AL852" s="145"/>
      <c r="AM852" s="145"/>
      <c r="AN852" s="145"/>
      <c r="AO852" s="145"/>
      <c r="AP852" s="145"/>
      <c r="AQ852" s="145"/>
      <c r="AR852" s="145"/>
      <c r="AS852" s="145"/>
      <c r="AT852" s="146"/>
      <c r="AU852" s="146"/>
      <c r="AV852" s="145"/>
      <c r="AW852" s="145"/>
      <c r="AX852" s="145"/>
      <c r="AY852" s="145"/>
      <c r="AZ852" s="145"/>
      <c r="BA852" s="145"/>
      <c r="BB852" s="145"/>
      <c r="BC852" s="145"/>
      <c r="BD852" s="145"/>
    </row>
    <row r="853" spans="1:56" ht="18.75" customHeight="1" x14ac:dyDescent="0.55000000000000004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  <c r="AC853" s="145"/>
      <c r="AD853" s="145"/>
      <c r="AE853" s="145"/>
      <c r="AF853" s="145"/>
      <c r="AG853" s="145"/>
      <c r="AH853" s="145"/>
      <c r="AI853" s="145"/>
      <c r="AJ853" s="145"/>
      <c r="AK853" s="145"/>
      <c r="AL853" s="145"/>
      <c r="AM853" s="145"/>
      <c r="AN853" s="145"/>
      <c r="AO853" s="145"/>
      <c r="AP853" s="145"/>
      <c r="AQ853" s="145"/>
      <c r="AR853" s="145"/>
      <c r="AS853" s="145"/>
      <c r="AT853" s="146"/>
      <c r="AU853" s="146"/>
      <c r="AV853" s="145"/>
      <c r="AW853" s="145"/>
      <c r="AX853" s="145"/>
      <c r="AY853" s="145"/>
      <c r="AZ853" s="145"/>
      <c r="BA853" s="145"/>
      <c r="BB853" s="145"/>
      <c r="BC853" s="145"/>
      <c r="BD853" s="145"/>
    </row>
    <row r="854" spans="1:56" ht="18.75" customHeight="1" x14ac:dyDescent="0.55000000000000004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  <c r="AC854" s="145"/>
      <c r="AD854" s="145"/>
      <c r="AE854" s="145"/>
      <c r="AF854" s="145"/>
      <c r="AG854" s="145"/>
      <c r="AH854" s="145"/>
      <c r="AI854" s="145"/>
      <c r="AJ854" s="145"/>
      <c r="AK854" s="145"/>
      <c r="AL854" s="145"/>
      <c r="AM854" s="145"/>
      <c r="AN854" s="145"/>
      <c r="AO854" s="145"/>
      <c r="AP854" s="145"/>
      <c r="AQ854" s="145"/>
      <c r="AR854" s="145"/>
      <c r="AS854" s="145"/>
      <c r="AT854" s="146"/>
      <c r="AU854" s="146"/>
      <c r="AV854" s="145"/>
      <c r="AW854" s="145"/>
      <c r="AX854" s="145"/>
      <c r="AY854" s="145"/>
      <c r="AZ854" s="145"/>
      <c r="BA854" s="145"/>
      <c r="BB854" s="145"/>
      <c r="BC854" s="145"/>
      <c r="BD854" s="145"/>
    </row>
    <row r="855" spans="1:56" ht="18.75" customHeight="1" x14ac:dyDescent="0.55000000000000004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  <c r="AC855" s="145"/>
      <c r="AD855" s="145"/>
      <c r="AE855" s="145"/>
      <c r="AF855" s="145"/>
      <c r="AG855" s="145"/>
      <c r="AH855" s="145"/>
      <c r="AI855" s="145"/>
      <c r="AJ855" s="145"/>
      <c r="AK855" s="145"/>
      <c r="AL855" s="145"/>
      <c r="AM855" s="145"/>
      <c r="AN855" s="145"/>
      <c r="AO855" s="145"/>
      <c r="AP855" s="145"/>
      <c r="AQ855" s="145"/>
      <c r="AR855" s="145"/>
      <c r="AS855" s="145"/>
      <c r="AT855" s="146"/>
      <c r="AU855" s="146"/>
      <c r="AV855" s="145"/>
      <c r="AW855" s="145"/>
      <c r="AX855" s="145"/>
      <c r="AY855" s="145"/>
      <c r="AZ855" s="145"/>
      <c r="BA855" s="145"/>
      <c r="BB855" s="145"/>
      <c r="BC855" s="145"/>
      <c r="BD855" s="145"/>
    </row>
    <row r="856" spans="1:56" ht="18.75" customHeight="1" x14ac:dyDescent="0.55000000000000004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  <c r="AC856" s="145"/>
      <c r="AD856" s="145"/>
      <c r="AE856" s="145"/>
      <c r="AF856" s="145"/>
      <c r="AG856" s="145"/>
      <c r="AH856" s="145"/>
      <c r="AI856" s="145"/>
      <c r="AJ856" s="145"/>
      <c r="AK856" s="145"/>
      <c r="AL856" s="145"/>
      <c r="AM856" s="145"/>
      <c r="AN856" s="145"/>
      <c r="AO856" s="145"/>
      <c r="AP856" s="145"/>
      <c r="AQ856" s="145"/>
      <c r="AR856" s="145"/>
      <c r="AS856" s="145"/>
      <c r="AT856" s="146"/>
      <c r="AU856" s="146"/>
      <c r="AV856" s="145"/>
      <c r="AW856" s="145"/>
      <c r="AX856" s="145"/>
      <c r="AY856" s="145"/>
      <c r="AZ856" s="145"/>
      <c r="BA856" s="145"/>
      <c r="BB856" s="145"/>
      <c r="BC856" s="145"/>
      <c r="BD856" s="145"/>
    </row>
    <row r="857" spans="1:56" ht="18.75" customHeight="1" x14ac:dyDescent="0.55000000000000004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  <c r="AC857" s="145"/>
      <c r="AD857" s="145"/>
      <c r="AE857" s="145"/>
      <c r="AF857" s="145"/>
      <c r="AG857" s="145"/>
      <c r="AH857" s="145"/>
      <c r="AI857" s="145"/>
      <c r="AJ857" s="145"/>
      <c r="AK857" s="145"/>
      <c r="AL857" s="145"/>
      <c r="AM857" s="145"/>
      <c r="AN857" s="145"/>
      <c r="AO857" s="145"/>
      <c r="AP857" s="145"/>
      <c r="AQ857" s="145"/>
      <c r="AR857" s="145"/>
      <c r="AS857" s="145"/>
      <c r="AT857" s="146"/>
      <c r="AU857" s="146"/>
      <c r="AV857" s="145"/>
      <c r="AW857" s="145"/>
      <c r="AX857" s="145"/>
      <c r="AY857" s="145"/>
      <c r="AZ857" s="145"/>
      <c r="BA857" s="145"/>
      <c r="BB857" s="145"/>
      <c r="BC857" s="145"/>
      <c r="BD857" s="145"/>
    </row>
    <row r="858" spans="1:56" ht="18.75" customHeight="1" x14ac:dyDescent="0.55000000000000004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  <c r="AC858" s="145"/>
      <c r="AD858" s="145"/>
      <c r="AE858" s="145"/>
      <c r="AF858" s="145"/>
      <c r="AG858" s="145"/>
      <c r="AH858" s="145"/>
      <c r="AI858" s="145"/>
      <c r="AJ858" s="145"/>
      <c r="AK858" s="145"/>
      <c r="AL858" s="145"/>
      <c r="AM858" s="145"/>
      <c r="AN858" s="145"/>
      <c r="AO858" s="145"/>
      <c r="AP858" s="145"/>
      <c r="AQ858" s="145"/>
      <c r="AR858" s="145"/>
      <c r="AS858" s="145"/>
      <c r="AT858" s="146"/>
      <c r="AU858" s="146"/>
      <c r="AV858" s="145"/>
      <c r="AW858" s="145"/>
      <c r="AX858" s="145"/>
      <c r="AY858" s="145"/>
      <c r="AZ858" s="145"/>
      <c r="BA858" s="145"/>
      <c r="BB858" s="145"/>
      <c r="BC858" s="145"/>
      <c r="BD858" s="145"/>
    </row>
    <row r="859" spans="1:56" ht="18.75" customHeight="1" x14ac:dyDescent="0.55000000000000004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  <c r="AC859" s="145"/>
      <c r="AD859" s="145"/>
      <c r="AE859" s="145"/>
      <c r="AF859" s="145"/>
      <c r="AG859" s="145"/>
      <c r="AH859" s="145"/>
      <c r="AI859" s="145"/>
      <c r="AJ859" s="145"/>
      <c r="AK859" s="145"/>
      <c r="AL859" s="145"/>
      <c r="AM859" s="145"/>
      <c r="AN859" s="145"/>
      <c r="AO859" s="145"/>
      <c r="AP859" s="145"/>
      <c r="AQ859" s="145"/>
      <c r="AR859" s="145"/>
      <c r="AS859" s="145"/>
      <c r="AT859" s="146"/>
      <c r="AU859" s="146"/>
      <c r="AV859" s="145"/>
      <c r="AW859" s="145"/>
      <c r="AX859" s="145"/>
      <c r="AY859" s="145"/>
      <c r="AZ859" s="145"/>
      <c r="BA859" s="145"/>
      <c r="BB859" s="145"/>
      <c r="BC859" s="145"/>
      <c r="BD859" s="145"/>
    </row>
    <row r="860" spans="1:56" ht="18.75" customHeight="1" x14ac:dyDescent="0.55000000000000004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  <c r="AC860" s="145"/>
      <c r="AD860" s="145"/>
      <c r="AE860" s="145"/>
      <c r="AF860" s="145"/>
      <c r="AG860" s="145"/>
      <c r="AH860" s="145"/>
      <c r="AI860" s="145"/>
      <c r="AJ860" s="145"/>
      <c r="AK860" s="145"/>
      <c r="AL860" s="145"/>
      <c r="AM860" s="145"/>
      <c r="AN860" s="145"/>
      <c r="AO860" s="145"/>
      <c r="AP860" s="145"/>
      <c r="AQ860" s="145"/>
      <c r="AR860" s="145"/>
      <c r="AS860" s="145"/>
      <c r="AT860" s="146"/>
      <c r="AU860" s="146"/>
      <c r="AV860" s="145"/>
      <c r="AW860" s="145"/>
      <c r="AX860" s="145"/>
      <c r="AY860" s="145"/>
      <c r="AZ860" s="145"/>
      <c r="BA860" s="145"/>
      <c r="BB860" s="145"/>
      <c r="BC860" s="145"/>
      <c r="BD860" s="145"/>
    </row>
    <row r="861" spans="1:56" ht="18.75" customHeight="1" x14ac:dyDescent="0.55000000000000004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  <c r="AC861" s="145"/>
      <c r="AD861" s="145"/>
      <c r="AE861" s="145"/>
      <c r="AF861" s="145"/>
      <c r="AG861" s="145"/>
      <c r="AH861" s="145"/>
      <c r="AI861" s="145"/>
      <c r="AJ861" s="145"/>
      <c r="AK861" s="145"/>
      <c r="AL861" s="145"/>
      <c r="AM861" s="145"/>
      <c r="AN861" s="145"/>
      <c r="AO861" s="145"/>
      <c r="AP861" s="145"/>
      <c r="AQ861" s="145"/>
      <c r="AR861" s="145"/>
      <c r="AS861" s="145"/>
      <c r="AT861" s="146"/>
      <c r="AU861" s="146"/>
      <c r="AV861" s="145"/>
      <c r="AW861" s="145"/>
      <c r="AX861" s="145"/>
      <c r="AY861" s="145"/>
      <c r="AZ861" s="145"/>
      <c r="BA861" s="145"/>
      <c r="BB861" s="145"/>
      <c r="BC861" s="145"/>
      <c r="BD861" s="145"/>
    </row>
    <row r="862" spans="1:56" ht="18.75" customHeight="1" x14ac:dyDescent="0.55000000000000004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  <c r="AC862" s="145"/>
      <c r="AD862" s="145"/>
      <c r="AE862" s="145"/>
      <c r="AF862" s="145"/>
      <c r="AG862" s="145"/>
      <c r="AH862" s="145"/>
      <c r="AI862" s="145"/>
      <c r="AJ862" s="145"/>
      <c r="AK862" s="145"/>
      <c r="AL862" s="145"/>
      <c r="AM862" s="145"/>
      <c r="AN862" s="145"/>
      <c r="AO862" s="145"/>
      <c r="AP862" s="145"/>
      <c r="AQ862" s="145"/>
      <c r="AR862" s="145"/>
      <c r="AS862" s="145"/>
      <c r="AT862" s="146"/>
      <c r="AU862" s="146"/>
      <c r="AV862" s="145"/>
      <c r="AW862" s="145"/>
      <c r="AX862" s="145"/>
      <c r="AY862" s="145"/>
      <c r="AZ862" s="145"/>
      <c r="BA862" s="145"/>
      <c r="BB862" s="145"/>
      <c r="BC862" s="145"/>
      <c r="BD862" s="145"/>
    </row>
    <row r="863" spans="1:56" ht="18.75" customHeight="1" x14ac:dyDescent="0.55000000000000004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  <c r="AC863" s="145"/>
      <c r="AD863" s="145"/>
      <c r="AE863" s="145"/>
      <c r="AF863" s="145"/>
      <c r="AG863" s="145"/>
      <c r="AH863" s="145"/>
      <c r="AI863" s="145"/>
      <c r="AJ863" s="145"/>
      <c r="AK863" s="145"/>
      <c r="AL863" s="145"/>
      <c r="AM863" s="145"/>
      <c r="AN863" s="145"/>
      <c r="AO863" s="145"/>
      <c r="AP863" s="145"/>
      <c r="AQ863" s="145"/>
      <c r="AR863" s="145"/>
      <c r="AS863" s="145"/>
      <c r="AT863" s="146"/>
      <c r="AU863" s="146"/>
      <c r="AV863" s="145"/>
      <c r="AW863" s="145"/>
      <c r="AX863" s="145"/>
      <c r="AY863" s="145"/>
      <c r="AZ863" s="145"/>
      <c r="BA863" s="145"/>
      <c r="BB863" s="145"/>
      <c r="BC863" s="145"/>
      <c r="BD863" s="145"/>
    </row>
    <row r="864" spans="1:56" ht="18.75" customHeight="1" x14ac:dyDescent="0.55000000000000004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  <c r="AC864" s="145"/>
      <c r="AD864" s="145"/>
      <c r="AE864" s="145"/>
      <c r="AF864" s="145"/>
      <c r="AG864" s="145"/>
      <c r="AH864" s="145"/>
      <c r="AI864" s="145"/>
      <c r="AJ864" s="145"/>
      <c r="AK864" s="145"/>
      <c r="AL864" s="145"/>
      <c r="AM864" s="145"/>
      <c r="AN864" s="145"/>
      <c r="AO864" s="145"/>
      <c r="AP864" s="145"/>
      <c r="AQ864" s="145"/>
      <c r="AR864" s="145"/>
      <c r="AS864" s="145"/>
      <c r="AT864" s="146"/>
      <c r="AU864" s="146"/>
      <c r="AV864" s="145"/>
      <c r="AW864" s="145"/>
      <c r="AX864" s="145"/>
      <c r="AY864" s="145"/>
      <c r="AZ864" s="145"/>
      <c r="BA864" s="145"/>
      <c r="BB864" s="145"/>
      <c r="BC864" s="145"/>
      <c r="BD864" s="145"/>
    </row>
    <row r="865" spans="1:56" ht="18.75" customHeight="1" x14ac:dyDescent="0.55000000000000004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  <c r="AC865" s="145"/>
      <c r="AD865" s="145"/>
      <c r="AE865" s="145"/>
      <c r="AF865" s="145"/>
      <c r="AG865" s="145"/>
      <c r="AH865" s="145"/>
      <c r="AI865" s="145"/>
      <c r="AJ865" s="145"/>
      <c r="AK865" s="145"/>
      <c r="AL865" s="145"/>
      <c r="AM865" s="145"/>
      <c r="AN865" s="145"/>
      <c r="AO865" s="145"/>
      <c r="AP865" s="145"/>
      <c r="AQ865" s="145"/>
      <c r="AR865" s="145"/>
      <c r="AS865" s="145"/>
      <c r="AT865" s="146"/>
      <c r="AU865" s="146"/>
      <c r="AV865" s="145"/>
      <c r="AW865" s="145"/>
      <c r="AX865" s="145"/>
      <c r="AY865" s="145"/>
      <c r="AZ865" s="145"/>
      <c r="BA865" s="145"/>
      <c r="BB865" s="145"/>
      <c r="BC865" s="145"/>
      <c r="BD865" s="145"/>
    </row>
    <row r="866" spans="1:56" ht="18.75" customHeight="1" x14ac:dyDescent="0.55000000000000004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  <c r="AC866" s="145"/>
      <c r="AD866" s="145"/>
      <c r="AE866" s="145"/>
      <c r="AF866" s="145"/>
      <c r="AG866" s="145"/>
      <c r="AH866" s="145"/>
      <c r="AI866" s="145"/>
      <c r="AJ866" s="145"/>
      <c r="AK866" s="145"/>
      <c r="AL866" s="145"/>
      <c r="AM866" s="145"/>
      <c r="AN866" s="145"/>
      <c r="AO866" s="145"/>
      <c r="AP866" s="145"/>
      <c r="AQ866" s="145"/>
      <c r="AR866" s="145"/>
      <c r="AS866" s="145"/>
      <c r="AT866" s="146"/>
      <c r="AU866" s="146"/>
      <c r="AV866" s="145"/>
      <c r="AW866" s="145"/>
      <c r="AX866" s="145"/>
      <c r="AY866" s="145"/>
      <c r="AZ866" s="145"/>
      <c r="BA866" s="145"/>
      <c r="BB866" s="145"/>
      <c r="BC866" s="145"/>
      <c r="BD866" s="145"/>
    </row>
    <row r="867" spans="1:56" ht="18.75" customHeight="1" x14ac:dyDescent="0.55000000000000004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  <c r="AE867" s="145"/>
      <c r="AF867" s="145"/>
      <c r="AG867" s="145"/>
      <c r="AH867" s="145"/>
      <c r="AI867" s="145"/>
      <c r="AJ867" s="145"/>
      <c r="AK867" s="145"/>
      <c r="AL867" s="145"/>
      <c r="AM867" s="145"/>
      <c r="AN867" s="145"/>
      <c r="AO867" s="145"/>
      <c r="AP867" s="145"/>
      <c r="AQ867" s="145"/>
      <c r="AR867" s="145"/>
      <c r="AS867" s="145"/>
      <c r="AT867" s="146"/>
      <c r="AU867" s="146"/>
      <c r="AV867" s="145"/>
      <c r="AW867" s="145"/>
      <c r="AX867" s="145"/>
      <c r="AY867" s="145"/>
      <c r="AZ867" s="145"/>
      <c r="BA867" s="145"/>
      <c r="BB867" s="145"/>
      <c r="BC867" s="145"/>
      <c r="BD867" s="145"/>
    </row>
    <row r="868" spans="1:56" ht="18.75" customHeight="1" x14ac:dyDescent="0.55000000000000004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  <c r="AC868" s="145"/>
      <c r="AD868" s="145"/>
      <c r="AE868" s="145"/>
      <c r="AF868" s="145"/>
      <c r="AG868" s="145"/>
      <c r="AH868" s="145"/>
      <c r="AI868" s="145"/>
      <c r="AJ868" s="145"/>
      <c r="AK868" s="145"/>
      <c r="AL868" s="145"/>
      <c r="AM868" s="145"/>
      <c r="AN868" s="145"/>
      <c r="AO868" s="145"/>
      <c r="AP868" s="145"/>
      <c r="AQ868" s="145"/>
      <c r="AR868" s="145"/>
      <c r="AS868" s="145"/>
      <c r="AT868" s="146"/>
      <c r="AU868" s="146"/>
      <c r="AV868" s="145"/>
      <c r="AW868" s="145"/>
      <c r="AX868" s="145"/>
      <c r="AY868" s="145"/>
      <c r="AZ868" s="145"/>
      <c r="BA868" s="145"/>
      <c r="BB868" s="145"/>
      <c r="BC868" s="145"/>
      <c r="BD868" s="145"/>
    </row>
    <row r="869" spans="1:56" ht="18.75" customHeight="1" x14ac:dyDescent="0.55000000000000004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  <c r="AC869" s="145"/>
      <c r="AD869" s="145"/>
      <c r="AE869" s="145"/>
      <c r="AF869" s="145"/>
      <c r="AG869" s="145"/>
      <c r="AH869" s="145"/>
      <c r="AI869" s="145"/>
      <c r="AJ869" s="145"/>
      <c r="AK869" s="145"/>
      <c r="AL869" s="145"/>
      <c r="AM869" s="145"/>
      <c r="AN869" s="145"/>
      <c r="AO869" s="145"/>
      <c r="AP869" s="145"/>
      <c r="AQ869" s="145"/>
      <c r="AR869" s="145"/>
      <c r="AS869" s="145"/>
      <c r="AT869" s="146"/>
      <c r="AU869" s="146"/>
      <c r="AV869" s="145"/>
      <c r="AW869" s="145"/>
      <c r="AX869" s="145"/>
      <c r="AY869" s="145"/>
      <c r="AZ869" s="145"/>
      <c r="BA869" s="145"/>
      <c r="BB869" s="145"/>
      <c r="BC869" s="145"/>
      <c r="BD869" s="145"/>
    </row>
    <row r="870" spans="1:56" ht="18.75" customHeight="1" x14ac:dyDescent="0.55000000000000004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  <c r="AC870" s="145"/>
      <c r="AD870" s="145"/>
      <c r="AE870" s="145"/>
      <c r="AF870" s="145"/>
      <c r="AG870" s="145"/>
      <c r="AH870" s="145"/>
      <c r="AI870" s="145"/>
      <c r="AJ870" s="145"/>
      <c r="AK870" s="145"/>
      <c r="AL870" s="145"/>
      <c r="AM870" s="145"/>
      <c r="AN870" s="145"/>
      <c r="AO870" s="145"/>
      <c r="AP870" s="145"/>
      <c r="AQ870" s="145"/>
      <c r="AR870" s="145"/>
      <c r="AS870" s="145"/>
      <c r="AT870" s="146"/>
      <c r="AU870" s="146"/>
      <c r="AV870" s="145"/>
      <c r="AW870" s="145"/>
      <c r="AX870" s="145"/>
      <c r="AY870" s="145"/>
      <c r="AZ870" s="145"/>
      <c r="BA870" s="145"/>
      <c r="BB870" s="145"/>
      <c r="BC870" s="145"/>
      <c r="BD870" s="145"/>
    </row>
    <row r="871" spans="1:56" ht="18.75" customHeight="1" x14ac:dyDescent="0.55000000000000004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  <c r="AC871" s="145"/>
      <c r="AD871" s="145"/>
      <c r="AE871" s="145"/>
      <c r="AF871" s="145"/>
      <c r="AG871" s="145"/>
      <c r="AH871" s="145"/>
      <c r="AI871" s="145"/>
      <c r="AJ871" s="145"/>
      <c r="AK871" s="145"/>
      <c r="AL871" s="145"/>
      <c r="AM871" s="145"/>
      <c r="AN871" s="145"/>
      <c r="AO871" s="145"/>
      <c r="AP871" s="145"/>
      <c r="AQ871" s="145"/>
      <c r="AR871" s="145"/>
      <c r="AS871" s="145"/>
      <c r="AT871" s="146"/>
      <c r="AU871" s="146"/>
      <c r="AV871" s="145"/>
      <c r="AW871" s="145"/>
      <c r="AX871" s="145"/>
      <c r="AY871" s="145"/>
      <c r="AZ871" s="145"/>
      <c r="BA871" s="145"/>
      <c r="BB871" s="145"/>
      <c r="BC871" s="145"/>
      <c r="BD871" s="145"/>
    </row>
    <row r="872" spans="1:56" ht="18.75" customHeight="1" x14ac:dyDescent="0.55000000000000004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  <c r="AC872" s="145"/>
      <c r="AD872" s="145"/>
      <c r="AE872" s="145"/>
      <c r="AF872" s="145"/>
      <c r="AG872" s="145"/>
      <c r="AH872" s="145"/>
      <c r="AI872" s="145"/>
      <c r="AJ872" s="145"/>
      <c r="AK872" s="145"/>
      <c r="AL872" s="145"/>
      <c r="AM872" s="145"/>
      <c r="AN872" s="145"/>
      <c r="AO872" s="145"/>
      <c r="AP872" s="145"/>
      <c r="AQ872" s="145"/>
      <c r="AR872" s="145"/>
      <c r="AS872" s="145"/>
      <c r="AT872" s="146"/>
      <c r="AU872" s="146"/>
      <c r="AV872" s="145"/>
      <c r="AW872" s="145"/>
      <c r="AX872" s="145"/>
      <c r="AY872" s="145"/>
      <c r="AZ872" s="145"/>
      <c r="BA872" s="145"/>
      <c r="BB872" s="145"/>
      <c r="BC872" s="145"/>
      <c r="BD872" s="145"/>
    </row>
    <row r="873" spans="1:56" ht="18.75" customHeight="1" x14ac:dyDescent="0.55000000000000004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  <c r="AC873" s="145"/>
      <c r="AD873" s="145"/>
      <c r="AE873" s="145"/>
      <c r="AF873" s="145"/>
      <c r="AG873" s="145"/>
      <c r="AH873" s="145"/>
      <c r="AI873" s="145"/>
      <c r="AJ873" s="145"/>
      <c r="AK873" s="145"/>
      <c r="AL873" s="145"/>
      <c r="AM873" s="145"/>
      <c r="AN873" s="145"/>
      <c r="AO873" s="145"/>
      <c r="AP873" s="145"/>
      <c r="AQ873" s="145"/>
      <c r="AR873" s="145"/>
      <c r="AS873" s="145"/>
      <c r="AT873" s="146"/>
      <c r="AU873" s="146"/>
      <c r="AV873" s="145"/>
      <c r="AW873" s="145"/>
      <c r="AX873" s="145"/>
      <c r="AY873" s="145"/>
      <c r="AZ873" s="145"/>
      <c r="BA873" s="145"/>
      <c r="BB873" s="145"/>
      <c r="BC873" s="145"/>
      <c r="BD873" s="145"/>
    </row>
    <row r="874" spans="1:56" ht="18.75" customHeight="1" x14ac:dyDescent="0.55000000000000004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  <c r="AC874" s="145"/>
      <c r="AD874" s="145"/>
      <c r="AE874" s="145"/>
      <c r="AF874" s="145"/>
      <c r="AG874" s="145"/>
      <c r="AH874" s="145"/>
      <c r="AI874" s="145"/>
      <c r="AJ874" s="145"/>
      <c r="AK874" s="145"/>
      <c r="AL874" s="145"/>
      <c r="AM874" s="145"/>
      <c r="AN874" s="145"/>
      <c r="AO874" s="145"/>
      <c r="AP874" s="145"/>
      <c r="AQ874" s="145"/>
      <c r="AR874" s="145"/>
      <c r="AS874" s="145"/>
      <c r="AT874" s="146"/>
      <c r="AU874" s="146"/>
      <c r="AV874" s="145"/>
      <c r="AW874" s="145"/>
      <c r="AX874" s="145"/>
      <c r="AY874" s="145"/>
      <c r="AZ874" s="145"/>
      <c r="BA874" s="145"/>
      <c r="BB874" s="145"/>
      <c r="BC874" s="145"/>
      <c r="BD874" s="145"/>
    </row>
    <row r="875" spans="1:56" ht="18.75" customHeight="1" x14ac:dyDescent="0.55000000000000004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  <c r="AC875" s="145"/>
      <c r="AD875" s="145"/>
      <c r="AE875" s="145"/>
      <c r="AF875" s="145"/>
      <c r="AG875" s="145"/>
      <c r="AH875" s="145"/>
      <c r="AI875" s="145"/>
      <c r="AJ875" s="145"/>
      <c r="AK875" s="145"/>
      <c r="AL875" s="145"/>
      <c r="AM875" s="145"/>
      <c r="AN875" s="145"/>
      <c r="AO875" s="145"/>
      <c r="AP875" s="145"/>
      <c r="AQ875" s="145"/>
      <c r="AR875" s="145"/>
      <c r="AS875" s="145"/>
      <c r="AT875" s="146"/>
      <c r="AU875" s="146"/>
      <c r="AV875" s="145"/>
      <c r="AW875" s="145"/>
      <c r="AX875" s="145"/>
      <c r="AY875" s="145"/>
      <c r="AZ875" s="145"/>
      <c r="BA875" s="145"/>
      <c r="BB875" s="145"/>
      <c r="BC875" s="145"/>
      <c r="BD875" s="145"/>
    </row>
    <row r="876" spans="1:56" ht="18.75" customHeight="1" x14ac:dyDescent="0.55000000000000004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  <c r="AC876" s="145"/>
      <c r="AD876" s="145"/>
      <c r="AE876" s="145"/>
      <c r="AF876" s="145"/>
      <c r="AG876" s="145"/>
      <c r="AH876" s="145"/>
      <c r="AI876" s="145"/>
      <c r="AJ876" s="145"/>
      <c r="AK876" s="145"/>
      <c r="AL876" s="145"/>
      <c r="AM876" s="145"/>
      <c r="AN876" s="145"/>
      <c r="AO876" s="145"/>
      <c r="AP876" s="145"/>
      <c r="AQ876" s="145"/>
      <c r="AR876" s="145"/>
      <c r="AS876" s="145"/>
      <c r="AT876" s="146"/>
      <c r="AU876" s="146"/>
      <c r="AV876" s="145"/>
      <c r="AW876" s="145"/>
      <c r="AX876" s="145"/>
      <c r="AY876" s="145"/>
      <c r="AZ876" s="145"/>
      <c r="BA876" s="145"/>
      <c r="BB876" s="145"/>
      <c r="BC876" s="145"/>
      <c r="BD876" s="145"/>
    </row>
    <row r="877" spans="1:56" ht="18.75" customHeight="1" x14ac:dyDescent="0.55000000000000004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  <c r="AC877" s="145"/>
      <c r="AD877" s="145"/>
      <c r="AE877" s="145"/>
      <c r="AF877" s="145"/>
      <c r="AG877" s="145"/>
      <c r="AH877" s="145"/>
      <c r="AI877" s="145"/>
      <c r="AJ877" s="145"/>
      <c r="AK877" s="145"/>
      <c r="AL877" s="145"/>
      <c r="AM877" s="145"/>
      <c r="AN877" s="145"/>
      <c r="AO877" s="145"/>
      <c r="AP877" s="145"/>
      <c r="AQ877" s="145"/>
      <c r="AR877" s="145"/>
      <c r="AS877" s="145"/>
      <c r="AT877" s="146"/>
      <c r="AU877" s="146"/>
      <c r="AV877" s="145"/>
      <c r="AW877" s="145"/>
      <c r="AX877" s="145"/>
      <c r="AY877" s="145"/>
      <c r="AZ877" s="145"/>
      <c r="BA877" s="145"/>
      <c r="BB877" s="145"/>
      <c r="BC877" s="145"/>
      <c r="BD877" s="145"/>
    </row>
    <row r="878" spans="1:56" ht="18.75" customHeight="1" x14ac:dyDescent="0.55000000000000004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  <c r="AC878" s="145"/>
      <c r="AD878" s="145"/>
      <c r="AE878" s="145"/>
      <c r="AF878" s="145"/>
      <c r="AG878" s="145"/>
      <c r="AH878" s="145"/>
      <c r="AI878" s="145"/>
      <c r="AJ878" s="145"/>
      <c r="AK878" s="145"/>
      <c r="AL878" s="145"/>
      <c r="AM878" s="145"/>
      <c r="AN878" s="145"/>
      <c r="AO878" s="145"/>
      <c r="AP878" s="145"/>
      <c r="AQ878" s="145"/>
      <c r="AR878" s="145"/>
      <c r="AS878" s="145"/>
      <c r="AT878" s="146"/>
      <c r="AU878" s="146"/>
      <c r="AV878" s="145"/>
      <c r="AW878" s="145"/>
      <c r="AX878" s="145"/>
      <c r="AY878" s="145"/>
      <c r="AZ878" s="145"/>
      <c r="BA878" s="145"/>
      <c r="BB878" s="145"/>
      <c r="BC878" s="145"/>
      <c r="BD878" s="145"/>
    </row>
    <row r="879" spans="1:56" ht="18.75" customHeight="1" x14ac:dyDescent="0.55000000000000004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  <c r="AC879" s="145"/>
      <c r="AD879" s="145"/>
      <c r="AE879" s="145"/>
      <c r="AF879" s="145"/>
      <c r="AG879" s="145"/>
      <c r="AH879" s="145"/>
      <c r="AI879" s="145"/>
      <c r="AJ879" s="145"/>
      <c r="AK879" s="145"/>
      <c r="AL879" s="145"/>
      <c r="AM879" s="145"/>
      <c r="AN879" s="145"/>
      <c r="AO879" s="145"/>
      <c r="AP879" s="145"/>
      <c r="AQ879" s="145"/>
      <c r="AR879" s="145"/>
      <c r="AS879" s="145"/>
      <c r="AT879" s="146"/>
      <c r="AU879" s="146"/>
      <c r="AV879" s="145"/>
      <c r="AW879" s="145"/>
      <c r="AX879" s="145"/>
      <c r="AY879" s="145"/>
      <c r="AZ879" s="145"/>
      <c r="BA879" s="145"/>
      <c r="BB879" s="145"/>
      <c r="BC879" s="145"/>
      <c r="BD879" s="145"/>
    </row>
    <row r="880" spans="1:56" ht="18.75" customHeight="1" x14ac:dyDescent="0.55000000000000004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  <c r="AC880" s="145"/>
      <c r="AD880" s="145"/>
      <c r="AE880" s="145"/>
      <c r="AF880" s="145"/>
      <c r="AG880" s="145"/>
      <c r="AH880" s="145"/>
      <c r="AI880" s="145"/>
      <c r="AJ880" s="145"/>
      <c r="AK880" s="145"/>
      <c r="AL880" s="145"/>
      <c r="AM880" s="145"/>
      <c r="AN880" s="145"/>
      <c r="AO880" s="145"/>
      <c r="AP880" s="145"/>
      <c r="AQ880" s="145"/>
      <c r="AR880" s="145"/>
      <c r="AS880" s="145"/>
      <c r="AT880" s="146"/>
      <c r="AU880" s="146"/>
      <c r="AV880" s="145"/>
      <c r="AW880" s="145"/>
      <c r="AX880" s="145"/>
      <c r="AY880" s="145"/>
      <c r="AZ880" s="145"/>
      <c r="BA880" s="145"/>
      <c r="BB880" s="145"/>
      <c r="BC880" s="145"/>
      <c r="BD880" s="145"/>
    </row>
    <row r="881" spans="1:56" ht="18.75" customHeight="1" x14ac:dyDescent="0.55000000000000004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  <c r="AC881" s="145"/>
      <c r="AD881" s="145"/>
      <c r="AE881" s="145"/>
      <c r="AF881" s="145"/>
      <c r="AG881" s="145"/>
      <c r="AH881" s="145"/>
      <c r="AI881" s="145"/>
      <c r="AJ881" s="145"/>
      <c r="AK881" s="145"/>
      <c r="AL881" s="145"/>
      <c r="AM881" s="145"/>
      <c r="AN881" s="145"/>
      <c r="AO881" s="145"/>
      <c r="AP881" s="145"/>
      <c r="AQ881" s="145"/>
      <c r="AR881" s="145"/>
      <c r="AS881" s="145"/>
      <c r="AT881" s="146"/>
      <c r="AU881" s="146"/>
      <c r="AV881" s="145"/>
      <c r="AW881" s="145"/>
      <c r="AX881" s="145"/>
      <c r="AY881" s="145"/>
      <c r="AZ881" s="145"/>
      <c r="BA881" s="145"/>
      <c r="BB881" s="145"/>
      <c r="BC881" s="145"/>
      <c r="BD881" s="145"/>
    </row>
    <row r="882" spans="1:56" ht="18.75" customHeight="1" x14ac:dyDescent="0.55000000000000004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  <c r="AC882" s="145"/>
      <c r="AD882" s="145"/>
      <c r="AE882" s="145"/>
      <c r="AF882" s="145"/>
      <c r="AG882" s="145"/>
      <c r="AH882" s="145"/>
      <c r="AI882" s="145"/>
      <c r="AJ882" s="145"/>
      <c r="AK882" s="145"/>
      <c r="AL882" s="145"/>
      <c r="AM882" s="145"/>
      <c r="AN882" s="145"/>
      <c r="AO882" s="145"/>
      <c r="AP882" s="145"/>
      <c r="AQ882" s="145"/>
      <c r="AR882" s="145"/>
      <c r="AS882" s="145"/>
      <c r="AT882" s="146"/>
      <c r="AU882" s="146"/>
      <c r="AV882" s="145"/>
      <c r="AW882" s="145"/>
      <c r="AX882" s="145"/>
      <c r="AY882" s="145"/>
      <c r="AZ882" s="145"/>
      <c r="BA882" s="145"/>
      <c r="BB882" s="145"/>
      <c r="BC882" s="145"/>
      <c r="BD882" s="145"/>
    </row>
    <row r="883" spans="1:56" ht="18.75" customHeight="1" x14ac:dyDescent="0.55000000000000004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  <c r="AC883" s="145"/>
      <c r="AD883" s="145"/>
      <c r="AE883" s="145"/>
      <c r="AF883" s="145"/>
      <c r="AG883" s="145"/>
      <c r="AH883" s="145"/>
      <c r="AI883" s="145"/>
      <c r="AJ883" s="145"/>
      <c r="AK883" s="145"/>
      <c r="AL883" s="145"/>
      <c r="AM883" s="145"/>
      <c r="AN883" s="145"/>
      <c r="AO883" s="145"/>
      <c r="AP883" s="145"/>
      <c r="AQ883" s="145"/>
      <c r="AR883" s="145"/>
      <c r="AS883" s="145"/>
      <c r="AT883" s="146"/>
      <c r="AU883" s="146"/>
      <c r="AV883" s="145"/>
      <c r="AW883" s="145"/>
      <c r="AX883" s="145"/>
      <c r="AY883" s="145"/>
      <c r="AZ883" s="145"/>
      <c r="BA883" s="145"/>
      <c r="BB883" s="145"/>
      <c r="BC883" s="145"/>
      <c r="BD883" s="145"/>
    </row>
    <row r="884" spans="1:56" ht="18.75" customHeight="1" x14ac:dyDescent="0.55000000000000004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  <c r="AC884" s="145"/>
      <c r="AD884" s="145"/>
      <c r="AE884" s="145"/>
      <c r="AF884" s="145"/>
      <c r="AG884" s="145"/>
      <c r="AH884" s="145"/>
      <c r="AI884" s="145"/>
      <c r="AJ884" s="145"/>
      <c r="AK884" s="145"/>
      <c r="AL884" s="145"/>
      <c r="AM884" s="145"/>
      <c r="AN884" s="145"/>
      <c r="AO884" s="145"/>
      <c r="AP884" s="145"/>
      <c r="AQ884" s="145"/>
      <c r="AR884" s="145"/>
      <c r="AS884" s="145"/>
      <c r="AT884" s="146"/>
      <c r="AU884" s="146"/>
      <c r="AV884" s="145"/>
      <c r="AW884" s="145"/>
      <c r="AX884" s="145"/>
      <c r="AY884" s="145"/>
      <c r="AZ884" s="145"/>
      <c r="BA884" s="145"/>
      <c r="BB884" s="145"/>
      <c r="BC884" s="145"/>
      <c r="BD884" s="145"/>
    </row>
    <row r="885" spans="1:56" ht="18.75" customHeight="1" x14ac:dyDescent="0.55000000000000004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  <c r="AC885" s="145"/>
      <c r="AD885" s="145"/>
      <c r="AE885" s="145"/>
      <c r="AF885" s="145"/>
      <c r="AG885" s="145"/>
      <c r="AH885" s="145"/>
      <c r="AI885" s="145"/>
      <c r="AJ885" s="145"/>
      <c r="AK885" s="145"/>
      <c r="AL885" s="145"/>
      <c r="AM885" s="145"/>
      <c r="AN885" s="145"/>
      <c r="AO885" s="145"/>
      <c r="AP885" s="145"/>
      <c r="AQ885" s="145"/>
      <c r="AR885" s="145"/>
      <c r="AS885" s="145"/>
      <c r="AT885" s="146"/>
      <c r="AU885" s="146"/>
      <c r="AV885" s="145"/>
      <c r="AW885" s="145"/>
      <c r="AX885" s="145"/>
      <c r="AY885" s="145"/>
      <c r="AZ885" s="145"/>
      <c r="BA885" s="145"/>
      <c r="BB885" s="145"/>
      <c r="BC885" s="145"/>
      <c r="BD885" s="145"/>
    </row>
    <row r="886" spans="1:56" ht="18.75" customHeight="1" x14ac:dyDescent="0.55000000000000004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  <c r="AC886" s="145"/>
      <c r="AD886" s="145"/>
      <c r="AE886" s="145"/>
      <c r="AF886" s="145"/>
      <c r="AG886" s="145"/>
      <c r="AH886" s="145"/>
      <c r="AI886" s="145"/>
      <c r="AJ886" s="145"/>
      <c r="AK886" s="145"/>
      <c r="AL886" s="145"/>
      <c r="AM886" s="145"/>
      <c r="AN886" s="145"/>
      <c r="AO886" s="145"/>
      <c r="AP886" s="145"/>
      <c r="AQ886" s="145"/>
      <c r="AR886" s="145"/>
      <c r="AS886" s="145"/>
      <c r="AT886" s="146"/>
      <c r="AU886" s="146"/>
      <c r="AV886" s="145"/>
      <c r="AW886" s="145"/>
      <c r="AX886" s="145"/>
      <c r="AY886" s="145"/>
      <c r="AZ886" s="145"/>
      <c r="BA886" s="145"/>
      <c r="BB886" s="145"/>
      <c r="BC886" s="145"/>
      <c r="BD886" s="145"/>
    </row>
    <row r="887" spans="1:56" ht="18.75" customHeight="1" x14ac:dyDescent="0.55000000000000004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  <c r="AC887" s="145"/>
      <c r="AD887" s="145"/>
      <c r="AE887" s="145"/>
      <c r="AF887" s="145"/>
      <c r="AG887" s="145"/>
      <c r="AH887" s="145"/>
      <c r="AI887" s="145"/>
      <c r="AJ887" s="145"/>
      <c r="AK887" s="145"/>
      <c r="AL887" s="145"/>
      <c r="AM887" s="145"/>
      <c r="AN887" s="145"/>
      <c r="AO887" s="145"/>
      <c r="AP887" s="145"/>
      <c r="AQ887" s="145"/>
      <c r="AR887" s="145"/>
      <c r="AS887" s="145"/>
      <c r="AT887" s="146"/>
      <c r="AU887" s="146"/>
      <c r="AV887" s="145"/>
      <c r="AW887" s="145"/>
      <c r="AX887" s="145"/>
      <c r="AY887" s="145"/>
      <c r="AZ887" s="145"/>
      <c r="BA887" s="145"/>
      <c r="BB887" s="145"/>
      <c r="BC887" s="145"/>
      <c r="BD887" s="145"/>
    </row>
    <row r="888" spans="1:56" ht="18.75" customHeight="1" x14ac:dyDescent="0.55000000000000004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  <c r="AC888" s="145"/>
      <c r="AD888" s="145"/>
      <c r="AE888" s="145"/>
      <c r="AF888" s="145"/>
      <c r="AG888" s="145"/>
      <c r="AH888" s="145"/>
      <c r="AI888" s="145"/>
      <c r="AJ888" s="145"/>
      <c r="AK888" s="145"/>
      <c r="AL888" s="145"/>
      <c r="AM888" s="145"/>
      <c r="AN888" s="145"/>
      <c r="AO888" s="145"/>
      <c r="AP888" s="145"/>
      <c r="AQ888" s="145"/>
      <c r="AR888" s="145"/>
      <c r="AS888" s="145"/>
      <c r="AT888" s="146"/>
      <c r="AU888" s="146"/>
      <c r="AV888" s="145"/>
      <c r="AW888" s="145"/>
      <c r="AX888" s="145"/>
      <c r="AY888" s="145"/>
      <c r="AZ888" s="145"/>
      <c r="BA888" s="145"/>
      <c r="BB888" s="145"/>
      <c r="BC888" s="145"/>
      <c r="BD888" s="145"/>
    </row>
    <row r="889" spans="1:56" ht="18.75" customHeight="1" x14ac:dyDescent="0.55000000000000004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  <c r="AC889" s="145"/>
      <c r="AD889" s="145"/>
      <c r="AE889" s="145"/>
      <c r="AF889" s="145"/>
      <c r="AG889" s="145"/>
      <c r="AH889" s="145"/>
      <c r="AI889" s="145"/>
      <c r="AJ889" s="145"/>
      <c r="AK889" s="145"/>
      <c r="AL889" s="145"/>
      <c r="AM889" s="145"/>
      <c r="AN889" s="145"/>
      <c r="AO889" s="145"/>
      <c r="AP889" s="145"/>
      <c r="AQ889" s="145"/>
      <c r="AR889" s="145"/>
      <c r="AS889" s="145"/>
      <c r="AT889" s="146"/>
      <c r="AU889" s="146"/>
      <c r="AV889" s="145"/>
      <c r="AW889" s="145"/>
      <c r="AX889" s="145"/>
      <c r="AY889" s="145"/>
      <c r="AZ889" s="145"/>
      <c r="BA889" s="145"/>
      <c r="BB889" s="145"/>
      <c r="BC889" s="145"/>
      <c r="BD889" s="145"/>
    </row>
    <row r="890" spans="1:56" ht="18.75" customHeight="1" x14ac:dyDescent="0.55000000000000004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  <c r="AC890" s="145"/>
      <c r="AD890" s="145"/>
      <c r="AE890" s="145"/>
      <c r="AF890" s="145"/>
      <c r="AG890" s="145"/>
      <c r="AH890" s="145"/>
      <c r="AI890" s="145"/>
      <c r="AJ890" s="145"/>
      <c r="AK890" s="145"/>
      <c r="AL890" s="145"/>
      <c r="AM890" s="145"/>
      <c r="AN890" s="145"/>
      <c r="AO890" s="145"/>
      <c r="AP890" s="145"/>
      <c r="AQ890" s="145"/>
      <c r="AR890" s="145"/>
      <c r="AS890" s="145"/>
      <c r="AT890" s="146"/>
      <c r="AU890" s="146"/>
      <c r="AV890" s="145"/>
      <c r="AW890" s="145"/>
      <c r="AX890" s="145"/>
      <c r="AY890" s="145"/>
      <c r="AZ890" s="145"/>
      <c r="BA890" s="145"/>
      <c r="BB890" s="145"/>
      <c r="BC890" s="145"/>
      <c r="BD890" s="145"/>
    </row>
    <row r="891" spans="1:56" ht="18.75" customHeight="1" x14ac:dyDescent="0.55000000000000004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  <c r="AC891" s="145"/>
      <c r="AD891" s="145"/>
      <c r="AE891" s="145"/>
      <c r="AF891" s="145"/>
      <c r="AG891" s="145"/>
      <c r="AH891" s="145"/>
      <c r="AI891" s="145"/>
      <c r="AJ891" s="145"/>
      <c r="AK891" s="145"/>
      <c r="AL891" s="145"/>
      <c r="AM891" s="145"/>
      <c r="AN891" s="145"/>
      <c r="AO891" s="145"/>
      <c r="AP891" s="145"/>
      <c r="AQ891" s="145"/>
      <c r="AR891" s="145"/>
      <c r="AS891" s="145"/>
      <c r="AT891" s="146"/>
      <c r="AU891" s="146"/>
      <c r="AV891" s="145"/>
      <c r="AW891" s="145"/>
      <c r="AX891" s="145"/>
      <c r="AY891" s="145"/>
      <c r="AZ891" s="145"/>
      <c r="BA891" s="145"/>
      <c r="BB891" s="145"/>
      <c r="BC891" s="145"/>
      <c r="BD891" s="145"/>
    </row>
    <row r="892" spans="1:56" ht="18.75" customHeight="1" x14ac:dyDescent="0.55000000000000004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  <c r="AC892" s="145"/>
      <c r="AD892" s="145"/>
      <c r="AE892" s="145"/>
      <c r="AF892" s="145"/>
      <c r="AG892" s="145"/>
      <c r="AH892" s="145"/>
      <c r="AI892" s="145"/>
      <c r="AJ892" s="145"/>
      <c r="AK892" s="145"/>
      <c r="AL892" s="145"/>
      <c r="AM892" s="145"/>
      <c r="AN892" s="145"/>
      <c r="AO892" s="145"/>
      <c r="AP892" s="145"/>
      <c r="AQ892" s="145"/>
      <c r="AR892" s="145"/>
      <c r="AS892" s="145"/>
      <c r="AT892" s="146"/>
      <c r="AU892" s="146"/>
      <c r="AV892" s="145"/>
      <c r="AW892" s="145"/>
      <c r="AX892" s="145"/>
      <c r="AY892" s="145"/>
      <c r="AZ892" s="145"/>
      <c r="BA892" s="145"/>
      <c r="BB892" s="145"/>
      <c r="BC892" s="145"/>
      <c r="BD892" s="145"/>
    </row>
    <row r="893" spans="1:56" ht="18.75" customHeight="1" x14ac:dyDescent="0.55000000000000004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  <c r="AC893" s="145"/>
      <c r="AD893" s="145"/>
      <c r="AE893" s="145"/>
      <c r="AF893" s="145"/>
      <c r="AG893" s="145"/>
      <c r="AH893" s="145"/>
      <c r="AI893" s="145"/>
      <c r="AJ893" s="145"/>
      <c r="AK893" s="145"/>
      <c r="AL893" s="145"/>
      <c r="AM893" s="145"/>
      <c r="AN893" s="145"/>
      <c r="AO893" s="145"/>
      <c r="AP893" s="145"/>
      <c r="AQ893" s="145"/>
      <c r="AR893" s="145"/>
      <c r="AS893" s="145"/>
      <c r="AT893" s="146"/>
      <c r="AU893" s="146"/>
      <c r="AV893" s="145"/>
      <c r="AW893" s="145"/>
      <c r="AX893" s="145"/>
      <c r="AY893" s="145"/>
      <c r="AZ893" s="145"/>
      <c r="BA893" s="145"/>
      <c r="BB893" s="145"/>
      <c r="BC893" s="145"/>
      <c r="BD893" s="145"/>
    </row>
    <row r="894" spans="1:56" ht="18.75" customHeight="1" x14ac:dyDescent="0.55000000000000004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  <c r="AC894" s="145"/>
      <c r="AD894" s="145"/>
      <c r="AE894" s="145"/>
      <c r="AF894" s="145"/>
      <c r="AG894" s="145"/>
      <c r="AH894" s="145"/>
      <c r="AI894" s="145"/>
      <c r="AJ894" s="145"/>
      <c r="AK894" s="145"/>
      <c r="AL894" s="145"/>
      <c r="AM894" s="145"/>
      <c r="AN894" s="145"/>
      <c r="AO894" s="145"/>
      <c r="AP894" s="145"/>
      <c r="AQ894" s="145"/>
      <c r="AR894" s="145"/>
      <c r="AS894" s="145"/>
      <c r="AT894" s="146"/>
      <c r="AU894" s="146"/>
      <c r="AV894" s="145"/>
      <c r="AW894" s="145"/>
      <c r="AX894" s="145"/>
      <c r="AY894" s="145"/>
      <c r="AZ894" s="145"/>
      <c r="BA894" s="145"/>
      <c r="BB894" s="145"/>
      <c r="BC894" s="145"/>
      <c r="BD894" s="145"/>
    </row>
    <row r="895" spans="1:56" ht="18.75" customHeight="1" x14ac:dyDescent="0.55000000000000004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  <c r="AC895" s="145"/>
      <c r="AD895" s="145"/>
      <c r="AE895" s="145"/>
      <c r="AF895" s="145"/>
      <c r="AG895" s="145"/>
      <c r="AH895" s="145"/>
      <c r="AI895" s="145"/>
      <c r="AJ895" s="145"/>
      <c r="AK895" s="145"/>
      <c r="AL895" s="145"/>
      <c r="AM895" s="145"/>
      <c r="AN895" s="145"/>
      <c r="AO895" s="145"/>
      <c r="AP895" s="145"/>
      <c r="AQ895" s="145"/>
      <c r="AR895" s="145"/>
      <c r="AS895" s="145"/>
      <c r="AT895" s="146"/>
      <c r="AU895" s="146"/>
      <c r="AV895" s="145"/>
      <c r="AW895" s="145"/>
      <c r="AX895" s="145"/>
      <c r="AY895" s="145"/>
      <c r="AZ895" s="145"/>
      <c r="BA895" s="145"/>
      <c r="BB895" s="145"/>
      <c r="BC895" s="145"/>
      <c r="BD895" s="145"/>
    </row>
    <row r="896" spans="1:56" ht="18.75" customHeight="1" x14ac:dyDescent="0.55000000000000004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  <c r="AC896" s="145"/>
      <c r="AD896" s="145"/>
      <c r="AE896" s="145"/>
      <c r="AF896" s="145"/>
      <c r="AG896" s="145"/>
      <c r="AH896" s="145"/>
      <c r="AI896" s="145"/>
      <c r="AJ896" s="145"/>
      <c r="AK896" s="145"/>
      <c r="AL896" s="145"/>
      <c r="AM896" s="145"/>
      <c r="AN896" s="145"/>
      <c r="AO896" s="145"/>
      <c r="AP896" s="145"/>
      <c r="AQ896" s="145"/>
      <c r="AR896" s="145"/>
      <c r="AS896" s="145"/>
      <c r="AT896" s="146"/>
      <c r="AU896" s="146"/>
      <c r="AV896" s="145"/>
      <c r="AW896" s="145"/>
      <c r="AX896" s="145"/>
      <c r="AY896" s="145"/>
      <c r="AZ896" s="145"/>
      <c r="BA896" s="145"/>
      <c r="BB896" s="145"/>
      <c r="BC896" s="145"/>
      <c r="BD896" s="145"/>
    </row>
    <row r="897" spans="1:56" ht="18.75" customHeight="1" x14ac:dyDescent="0.55000000000000004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  <c r="AC897" s="145"/>
      <c r="AD897" s="145"/>
      <c r="AE897" s="145"/>
      <c r="AF897" s="145"/>
      <c r="AG897" s="145"/>
      <c r="AH897" s="145"/>
      <c r="AI897" s="145"/>
      <c r="AJ897" s="145"/>
      <c r="AK897" s="145"/>
      <c r="AL897" s="145"/>
      <c r="AM897" s="145"/>
      <c r="AN897" s="145"/>
      <c r="AO897" s="145"/>
      <c r="AP897" s="145"/>
      <c r="AQ897" s="145"/>
      <c r="AR897" s="145"/>
      <c r="AS897" s="145"/>
      <c r="AT897" s="146"/>
      <c r="AU897" s="146"/>
      <c r="AV897" s="145"/>
      <c r="AW897" s="145"/>
      <c r="AX897" s="145"/>
      <c r="AY897" s="145"/>
      <c r="AZ897" s="145"/>
      <c r="BA897" s="145"/>
      <c r="BB897" s="145"/>
      <c r="BC897" s="145"/>
      <c r="BD897" s="145"/>
    </row>
    <row r="898" spans="1:56" ht="18.75" customHeight="1" x14ac:dyDescent="0.55000000000000004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  <c r="AC898" s="145"/>
      <c r="AD898" s="145"/>
      <c r="AE898" s="145"/>
      <c r="AF898" s="145"/>
      <c r="AG898" s="145"/>
      <c r="AH898" s="145"/>
      <c r="AI898" s="145"/>
      <c r="AJ898" s="145"/>
      <c r="AK898" s="145"/>
      <c r="AL898" s="145"/>
      <c r="AM898" s="145"/>
      <c r="AN898" s="145"/>
      <c r="AO898" s="145"/>
      <c r="AP898" s="145"/>
      <c r="AQ898" s="145"/>
      <c r="AR898" s="145"/>
      <c r="AS898" s="145"/>
      <c r="AT898" s="146"/>
      <c r="AU898" s="146"/>
      <c r="AV898" s="145"/>
      <c r="AW898" s="145"/>
      <c r="AX898" s="145"/>
      <c r="AY898" s="145"/>
      <c r="AZ898" s="145"/>
      <c r="BA898" s="145"/>
      <c r="BB898" s="145"/>
      <c r="BC898" s="145"/>
      <c r="BD898" s="145"/>
    </row>
    <row r="899" spans="1:56" ht="18.75" customHeight="1" x14ac:dyDescent="0.55000000000000004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  <c r="AC899" s="145"/>
      <c r="AD899" s="145"/>
      <c r="AE899" s="145"/>
      <c r="AF899" s="145"/>
      <c r="AG899" s="145"/>
      <c r="AH899" s="145"/>
      <c r="AI899" s="145"/>
      <c r="AJ899" s="145"/>
      <c r="AK899" s="145"/>
      <c r="AL899" s="145"/>
      <c r="AM899" s="145"/>
      <c r="AN899" s="145"/>
      <c r="AO899" s="145"/>
      <c r="AP899" s="145"/>
      <c r="AQ899" s="145"/>
      <c r="AR899" s="145"/>
      <c r="AS899" s="145"/>
      <c r="AT899" s="146"/>
      <c r="AU899" s="146"/>
      <c r="AV899" s="145"/>
      <c r="AW899" s="145"/>
      <c r="AX899" s="145"/>
      <c r="AY899" s="145"/>
      <c r="AZ899" s="145"/>
      <c r="BA899" s="145"/>
      <c r="BB899" s="145"/>
      <c r="BC899" s="145"/>
      <c r="BD899" s="145"/>
    </row>
    <row r="900" spans="1:56" ht="18.75" customHeight="1" x14ac:dyDescent="0.55000000000000004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  <c r="AC900" s="145"/>
      <c r="AD900" s="145"/>
      <c r="AE900" s="145"/>
      <c r="AF900" s="145"/>
      <c r="AG900" s="145"/>
      <c r="AH900" s="145"/>
      <c r="AI900" s="145"/>
      <c r="AJ900" s="145"/>
      <c r="AK900" s="145"/>
      <c r="AL900" s="145"/>
      <c r="AM900" s="145"/>
      <c r="AN900" s="145"/>
      <c r="AO900" s="145"/>
      <c r="AP900" s="145"/>
      <c r="AQ900" s="145"/>
      <c r="AR900" s="145"/>
      <c r="AS900" s="145"/>
      <c r="AT900" s="146"/>
      <c r="AU900" s="146"/>
      <c r="AV900" s="145"/>
      <c r="AW900" s="145"/>
      <c r="AX900" s="145"/>
      <c r="AY900" s="145"/>
      <c r="AZ900" s="145"/>
      <c r="BA900" s="145"/>
      <c r="BB900" s="145"/>
      <c r="BC900" s="145"/>
      <c r="BD900" s="145"/>
    </row>
    <row r="901" spans="1:56" ht="18.75" customHeight="1" x14ac:dyDescent="0.55000000000000004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  <c r="AC901" s="145"/>
      <c r="AD901" s="145"/>
      <c r="AE901" s="145"/>
      <c r="AF901" s="145"/>
      <c r="AG901" s="145"/>
      <c r="AH901" s="145"/>
      <c r="AI901" s="145"/>
      <c r="AJ901" s="145"/>
      <c r="AK901" s="145"/>
      <c r="AL901" s="145"/>
      <c r="AM901" s="145"/>
      <c r="AN901" s="145"/>
      <c r="AO901" s="145"/>
      <c r="AP901" s="145"/>
      <c r="AQ901" s="145"/>
      <c r="AR901" s="145"/>
      <c r="AS901" s="145"/>
      <c r="AT901" s="146"/>
      <c r="AU901" s="146"/>
      <c r="AV901" s="145"/>
      <c r="AW901" s="145"/>
      <c r="AX901" s="145"/>
      <c r="AY901" s="145"/>
      <c r="AZ901" s="145"/>
      <c r="BA901" s="145"/>
      <c r="BB901" s="145"/>
      <c r="BC901" s="145"/>
      <c r="BD901" s="145"/>
    </row>
    <row r="902" spans="1:56" ht="18.75" customHeight="1" x14ac:dyDescent="0.55000000000000004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  <c r="AC902" s="145"/>
      <c r="AD902" s="145"/>
      <c r="AE902" s="145"/>
      <c r="AF902" s="145"/>
      <c r="AG902" s="145"/>
      <c r="AH902" s="145"/>
      <c r="AI902" s="145"/>
      <c r="AJ902" s="145"/>
      <c r="AK902" s="145"/>
      <c r="AL902" s="145"/>
      <c r="AM902" s="145"/>
      <c r="AN902" s="145"/>
      <c r="AO902" s="145"/>
      <c r="AP902" s="145"/>
      <c r="AQ902" s="145"/>
      <c r="AR902" s="145"/>
      <c r="AS902" s="145"/>
      <c r="AT902" s="146"/>
      <c r="AU902" s="146"/>
      <c r="AV902" s="145"/>
      <c r="AW902" s="145"/>
      <c r="AX902" s="145"/>
      <c r="AY902" s="145"/>
      <c r="AZ902" s="145"/>
      <c r="BA902" s="145"/>
      <c r="BB902" s="145"/>
      <c r="BC902" s="145"/>
      <c r="BD902" s="145"/>
    </row>
    <row r="903" spans="1:56" ht="18.75" customHeight="1" x14ac:dyDescent="0.55000000000000004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  <c r="AC903" s="145"/>
      <c r="AD903" s="145"/>
      <c r="AE903" s="145"/>
      <c r="AF903" s="145"/>
      <c r="AG903" s="145"/>
      <c r="AH903" s="145"/>
      <c r="AI903" s="145"/>
      <c r="AJ903" s="145"/>
      <c r="AK903" s="145"/>
      <c r="AL903" s="145"/>
      <c r="AM903" s="145"/>
      <c r="AN903" s="145"/>
      <c r="AO903" s="145"/>
      <c r="AP903" s="145"/>
      <c r="AQ903" s="145"/>
      <c r="AR903" s="145"/>
      <c r="AS903" s="145"/>
      <c r="AT903" s="146"/>
      <c r="AU903" s="146"/>
      <c r="AV903" s="145"/>
      <c r="AW903" s="145"/>
      <c r="AX903" s="145"/>
      <c r="AY903" s="145"/>
      <c r="AZ903" s="145"/>
      <c r="BA903" s="145"/>
      <c r="BB903" s="145"/>
      <c r="BC903" s="145"/>
      <c r="BD903" s="145"/>
    </row>
    <row r="904" spans="1:56" ht="18.75" customHeight="1" x14ac:dyDescent="0.55000000000000004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  <c r="AC904" s="145"/>
      <c r="AD904" s="145"/>
      <c r="AE904" s="145"/>
      <c r="AF904" s="145"/>
      <c r="AG904" s="145"/>
      <c r="AH904" s="145"/>
      <c r="AI904" s="145"/>
      <c r="AJ904" s="145"/>
      <c r="AK904" s="145"/>
      <c r="AL904" s="145"/>
      <c r="AM904" s="145"/>
      <c r="AN904" s="145"/>
      <c r="AO904" s="145"/>
      <c r="AP904" s="145"/>
      <c r="AQ904" s="145"/>
      <c r="AR904" s="145"/>
      <c r="AS904" s="145"/>
      <c r="AT904" s="146"/>
      <c r="AU904" s="146"/>
      <c r="AV904" s="145"/>
      <c r="AW904" s="145"/>
      <c r="AX904" s="145"/>
      <c r="AY904" s="145"/>
      <c r="AZ904" s="145"/>
      <c r="BA904" s="145"/>
      <c r="BB904" s="145"/>
      <c r="BC904" s="145"/>
      <c r="BD904" s="145"/>
    </row>
    <row r="905" spans="1:56" ht="18.75" customHeight="1" x14ac:dyDescent="0.55000000000000004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  <c r="AC905" s="145"/>
      <c r="AD905" s="145"/>
      <c r="AE905" s="145"/>
      <c r="AF905" s="145"/>
      <c r="AG905" s="145"/>
      <c r="AH905" s="145"/>
      <c r="AI905" s="145"/>
      <c r="AJ905" s="145"/>
      <c r="AK905" s="145"/>
      <c r="AL905" s="145"/>
      <c r="AM905" s="145"/>
      <c r="AN905" s="145"/>
      <c r="AO905" s="145"/>
      <c r="AP905" s="145"/>
      <c r="AQ905" s="145"/>
      <c r="AR905" s="145"/>
      <c r="AS905" s="145"/>
      <c r="AT905" s="146"/>
      <c r="AU905" s="146"/>
      <c r="AV905" s="145"/>
      <c r="AW905" s="145"/>
      <c r="AX905" s="145"/>
      <c r="AY905" s="145"/>
      <c r="AZ905" s="145"/>
      <c r="BA905" s="145"/>
      <c r="BB905" s="145"/>
      <c r="BC905" s="145"/>
      <c r="BD905" s="145"/>
    </row>
    <row r="906" spans="1:56" ht="18.75" customHeight="1" x14ac:dyDescent="0.55000000000000004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  <c r="AC906" s="145"/>
      <c r="AD906" s="145"/>
      <c r="AE906" s="145"/>
      <c r="AF906" s="145"/>
      <c r="AG906" s="145"/>
      <c r="AH906" s="145"/>
      <c r="AI906" s="145"/>
      <c r="AJ906" s="145"/>
      <c r="AK906" s="145"/>
      <c r="AL906" s="145"/>
      <c r="AM906" s="145"/>
      <c r="AN906" s="145"/>
      <c r="AO906" s="145"/>
      <c r="AP906" s="145"/>
      <c r="AQ906" s="145"/>
      <c r="AR906" s="145"/>
      <c r="AS906" s="145"/>
      <c r="AT906" s="146"/>
      <c r="AU906" s="146"/>
      <c r="AV906" s="145"/>
      <c r="AW906" s="145"/>
      <c r="AX906" s="145"/>
      <c r="AY906" s="145"/>
      <c r="AZ906" s="145"/>
      <c r="BA906" s="145"/>
      <c r="BB906" s="145"/>
      <c r="BC906" s="145"/>
      <c r="BD906" s="145"/>
    </row>
    <row r="907" spans="1:56" ht="18.75" customHeight="1" x14ac:dyDescent="0.55000000000000004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  <c r="AC907" s="145"/>
      <c r="AD907" s="145"/>
      <c r="AE907" s="145"/>
      <c r="AF907" s="145"/>
      <c r="AG907" s="145"/>
      <c r="AH907" s="145"/>
      <c r="AI907" s="145"/>
      <c r="AJ907" s="145"/>
      <c r="AK907" s="145"/>
      <c r="AL907" s="145"/>
      <c r="AM907" s="145"/>
      <c r="AN907" s="145"/>
      <c r="AO907" s="145"/>
      <c r="AP907" s="145"/>
      <c r="AQ907" s="145"/>
      <c r="AR907" s="145"/>
      <c r="AS907" s="145"/>
      <c r="AT907" s="146"/>
      <c r="AU907" s="146"/>
      <c r="AV907" s="145"/>
      <c r="AW907" s="145"/>
      <c r="AX907" s="145"/>
      <c r="AY907" s="145"/>
      <c r="AZ907" s="145"/>
      <c r="BA907" s="145"/>
      <c r="BB907" s="145"/>
      <c r="BC907" s="145"/>
      <c r="BD907" s="145"/>
    </row>
    <row r="908" spans="1:56" ht="18.75" customHeight="1" x14ac:dyDescent="0.55000000000000004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  <c r="AC908" s="145"/>
      <c r="AD908" s="145"/>
      <c r="AE908" s="145"/>
      <c r="AF908" s="145"/>
      <c r="AG908" s="145"/>
      <c r="AH908" s="145"/>
      <c r="AI908" s="145"/>
      <c r="AJ908" s="145"/>
      <c r="AK908" s="145"/>
      <c r="AL908" s="145"/>
      <c r="AM908" s="145"/>
      <c r="AN908" s="145"/>
      <c r="AO908" s="145"/>
      <c r="AP908" s="145"/>
      <c r="AQ908" s="145"/>
      <c r="AR908" s="145"/>
      <c r="AS908" s="145"/>
      <c r="AT908" s="146"/>
      <c r="AU908" s="146"/>
      <c r="AV908" s="145"/>
      <c r="AW908" s="145"/>
      <c r="AX908" s="145"/>
      <c r="AY908" s="145"/>
      <c r="AZ908" s="145"/>
      <c r="BA908" s="145"/>
      <c r="BB908" s="145"/>
      <c r="BC908" s="145"/>
      <c r="BD908" s="145"/>
    </row>
    <row r="909" spans="1:56" ht="18.75" customHeight="1" x14ac:dyDescent="0.55000000000000004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  <c r="AC909" s="145"/>
      <c r="AD909" s="145"/>
      <c r="AE909" s="145"/>
      <c r="AF909" s="145"/>
      <c r="AG909" s="145"/>
      <c r="AH909" s="145"/>
      <c r="AI909" s="145"/>
      <c r="AJ909" s="145"/>
      <c r="AK909" s="145"/>
      <c r="AL909" s="145"/>
      <c r="AM909" s="145"/>
      <c r="AN909" s="145"/>
      <c r="AO909" s="145"/>
      <c r="AP909" s="145"/>
      <c r="AQ909" s="145"/>
      <c r="AR909" s="145"/>
      <c r="AS909" s="145"/>
      <c r="AT909" s="146"/>
      <c r="AU909" s="146"/>
      <c r="AV909" s="145"/>
      <c r="AW909" s="145"/>
      <c r="AX909" s="145"/>
      <c r="AY909" s="145"/>
      <c r="AZ909" s="145"/>
      <c r="BA909" s="145"/>
      <c r="BB909" s="145"/>
      <c r="BC909" s="145"/>
      <c r="BD909" s="145"/>
    </row>
    <row r="910" spans="1:56" ht="18.75" customHeight="1" x14ac:dyDescent="0.55000000000000004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  <c r="AC910" s="145"/>
      <c r="AD910" s="145"/>
      <c r="AE910" s="145"/>
      <c r="AF910" s="145"/>
      <c r="AG910" s="145"/>
      <c r="AH910" s="145"/>
      <c r="AI910" s="145"/>
      <c r="AJ910" s="145"/>
      <c r="AK910" s="145"/>
      <c r="AL910" s="145"/>
      <c r="AM910" s="145"/>
      <c r="AN910" s="145"/>
      <c r="AO910" s="145"/>
      <c r="AP910" s="145"/>
      <c r="AQ910" s="145"/>
      <c r="AR910" s="145"/>
      <c r="AS910" s="145"/>
      <c r="AT910" s="146"/>
      <c r="AU910" s="146"/>
      <c r="AV910" s="145"/>
      <c r="AW910" s="145"/>
      <c r="AX910" s="145"/>
      <c r="AY910" s="145"/>
      <c r="AZ910" s="145"/>
      <c r="BA910" s="145"/>
      <c r="BB910" s="145"/>
      <c r="BC910" s="145"/>
      <c r="BD910" s="145"/>
    </row>
    <row r="911" spans="1:56" ht="18.75" customHeight="1" x14ac:dyDescent="0.55000000000000004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  <c r="AC911" s="145"/>
      <c r="AD911" s="145"/>
      <c r="AE911" s="145"/>
      <c r="AF911" s="145"/>
      <c r="AG911" s="145"/>
      <c r="AH911" s="145"/>
      <c r="AI911" s="145"/>
      <c r="AJ911" s="145"/>
      <c r="AK911" s="145"/>
      <c r="AL911" s="145"/>
      <c r="AM911" s="145"/>
      <c r="AN911" s="145"/>
      <c r="AO911" s="145"/>
      <c r="AP911" s="145"/>
      <c r="AQ911" s="145"/>
      <c r="AR911" s="145"/>
      <c r="AS911" s="145"/>
      <c r="AT911" s="146"/>
      <c r="AU911" s="146"/>
      <c r="AV911" s="145"/>
      <c r="AW911" s="145"/>
      <c r="AX911" s="145"/>
      <c r="AY911" s="145"/>
      <c r="AZ911" s="145"/>
      <c r="BA911" s="145"/>
      <c r="BB911" s="145"/>
      <c r="BC911" s="145"/>
      <c r="BD911" s="145"/>
    </row>
    <row r="912" spans="1:56" ht="18.75" customHeight="1" x14ac:dyDescent="0.55000000000000004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  <c r="AC912" s="145"/>
      <c r="AD912" s="145"/>
      <c r="AE912" s="145"/>
      <c r="AF912" s="145"/>
      <c r="AG912" s="145"/>
      <c r="AH912" s="145"/>
      <c r="AI912" s="145"/>
      <c r="AJ912" s="145"/>
      <c r="AK912" s="145"/>
      <c r="AL912" s="145"/>
      <c r="AM912" s="145"/>
      <c r="AN912" s="145"/>
      <c r="AO912" s="145"/>
      <c r="AP912" s="145"/>
      <c r="AQ912" s="145"/>
      <c r="AR912" s="145"/>
      <c r="AS912" s="145"/>
      <c r="AT912" s="146"/>
      <c r="AU912" s="146"/>
      <c r="AV912" s="145"/>
      <c r="AW912" s="145"/>
      <c r="AX912" s="145"/>
      <c r="AY912" s="145"/>
      <c r="AZ912" s="145"/>
      <c r="BA912" s="145"/>
      <c r="BB912" s="145"/>
      <c r="BC912" s="145"/>
      <c r="BD912" s="145"/>
    </row>
    <row r="913" spans="1:56" ht="18.75" customHeight="1" x14ac:dyDescent="0.55000000000000004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  <c r="AC913" s="145"/>
      <c r="AD913" s="145"/>
      <c r="AE913" s="145"/>
      <c r="AF913" s="145"/>
      <c r="AG913" s="145"/>
      <c r="AH913" s="145"/>
      <c r="AI913" s="145"/>
      <c r="AJ913" s="145"/>
      <c r="AK913" s="145"/>
      <c r="AL913" s="145"/>
      <c r="AM913" s="145"/>
      <c r="AN913" s="145"/>
      <c r="AO913" s="145"/>
      <c r="AP913" s="145"/>
      <c r="AQ913" s="145"/>
      <c r="AR913" s="145"/>
      <c r="AS913" s="145"/>
      <c r="AT913" s="146"/>
      <c r="AU913" s="146"/>
      <c r="AV913" s="145"/>
      <c r="AW913" s="145"/>
      <c r="AX913" s="145"/>
      <c r="AY913" s="145"/>
      <c r="AZ913" s="145"/>
      <c r="BA913" s="145"/>
      <c r="BB913" s="145"/>
      <c r="BC913" s="145"/>
      <c r="BD913" s="145"/>
    </row>
    <row r="914" spans="1:56" ht="18.75" customHeight="1" x14ac:dyDescent="0.55000000000000004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  <c r="AC914" s="145"/>
      <c r="AD914" s="145"/>
      <c r="AE914" s="145"/>
      <c r="AF914" s="145"/>
      <c r="AG914" s="145"/>
      <c r="AH914" s="145"/>
      <c r="AI914" s="145"/>
      <c r="AJ914" s="145"/>
      <c r="AK914" s="145"/>
      <c r="AL914" s="145"/>
      <c r="AM914" s="145"/>
      <c r="AN914" s="145"/>
      <c r="AO914" s="145"/>
      <c r="AP914" s="145"/>
      <c r="AQ914" s="145"/>
      <c r="AR914" s="145"/>
      <c r="AS914" s="145"/>
      <c r="AT914" s="146"/>
      <c r="AU914" s="146"/>
      <c r="AV914" s="145"/>
      <c r="AW914" s="145"/>
      <c r="AX914" s="145"/>
      <c r="AY914" s="145"/>
      <c r="AZ914" s="145"/>
      <c r="BA914" s="145"/>
      <c r="BB914" s="145"/>
      <c r="BC914" s="145"/>
      <c r="BD914" s="145"/>
    </row>
    <row r="915" spans="1:56" ht="18.75" customHeight="1" x14ac:dyDescent="0.55000000000000004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  <c r="AC915" s="145"/>
      <c r="AD915" s="145"/>
      <c r="AE915" s="145"/>
      <c r="AF915" s="145"/>
      <c r="AG915" s="145"/>
      <c r="AH915" s="145"/>
      <c r="AI915" s="145"/>
      <c r="AJ915" s="145"/>
      <c r="AK915" s="145"/>
      <c r="AL915" s="145"/>
      <c r="AM915" s="145"/>
      <c r="AN915" s="145"/>
      <c r="AO915" s="145"/>
      <c r="AP915" s="145"/>
      <c r="AQ915" s="145"/>
      <c r="AR915" s="145"/>
      <c r="AS915" s="145"/>
      <c r="AT915" s="146"/>
      <c r="AU915" s="146"/>
      <c r="AV915" s="145"/>
      <c r="AW915" s="145"/>
      <c r="AX915" s="145"/>
      <c r="AY915" s="145"/>
      <c r="AZ915" s="145"/>
      <c r="BA915" s="145"/>
      <c r="BB915" s="145"/>
      <c r="BC915" s="145"/>
      <c r="BD915" s="145"/>
    </row>
    <row r="916" spans="1:56" ht="18.75" customHeight="1" x14ac:dyDescent="0.55000000000000004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  <c r="AC916" s="145"/>
      <c r="AD916" s="145"/>
      <c r="AE916" s="145"/>
      <c r="AF916" s="145"/>
      <c r="AG916" s="145"/>
      <c r="AH916" s="145"/>
      <c r="AI916" s="145"/>
      <c r="AJ916" s="145"/>
      <c r="AK916" s="145"/>
      <c r="AL916" s="145"/>
      <c r="AM916" s="145"/>
      <c r="AN916" s="145"/>
      <c r="AO916" s="145"/>
      <c r="AP916" s="145"/>
      <c r="AQ916" s="145"/>
      <c r="AR916" s="145"/>
      <c r="AS916" s="145"/>
      <c r="AT916" s="146"/>
      <c r="AU916" s="146"/>
      <c r="AV916" s="145"/>
      <c r="AW916" s="145"/>
      <c r="AX916" s="145"/>
      <c r="AY916" s="145"/>
      <c r="AZ916" s="145"/>
      <c r="BA916" s="145"/>
      <c r="BB916" s="145"/>
      <c r="BC916" s="145"/>
      <c r="BD916" s="145"/>
    </row>
    <row r="917" spans="1:56" ht="18.75" customHeight="1" x14ac:dyDescent="0.55000000000000004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  <c r="AC917" s="145"/>
      <c r="AD917" s="145"/>
      <c r="AE917" s="145"/>
      <c r="AF917" s="145"/>
      <c r="AG917" s="145"/>
      <c r="AH917" s="145"/>
      <c r="AI917" s="145"/>
      <c r="AJ917" s="145"/>
      <c r="AK917" s="145"/>
      <c r="AL917" s="145"/>
      <c r="AM917" s="145"/>
      <c r="AN917" s="145"/>
      <c r="AO917" s="145"/>
      <c r="AP917" s="145"/>
      <c r="AQ917" s="145"/>
      <c r="AR917" s="145"/>
      <c r="AS917" s="145"/>
      <c r="AT917" s="146"/>
      <c r="AU917" s="146"/>
      <c r="AV917" s="145"/>
      <c r="AW917" s="145"/>
      <c r="AX917" s="145"/>
      <c r="AY917" s="145"/>
      <c r="AZ917" s="145"/>
      <c r="BA917" s="145"/>
      <c r="BB917" s="145"/>
      <c r="BC917" s="145"/>
      <c r="BD917" s="145"/>
    </row>
    <row r="918" spans="1:56" ht="18.75" customHeight="1" x14ac:dyDescent="0.55000000000000004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  <c r="AC918" s="145"/>
      <c r="AD918" s="145"/>
      <c r="AE918" s="145"/>
      <c r="AF918" s="145"/>
      <c r="AG918" s="145"/>
      <c r="AH918" s="145"/>
      <c r="AI918" s="145"/>
      <c r="AJ918" s="145"/>
      <c r="AK918" s="145"/>
      <c r="AL918" s="145"/>
      <c r="AM918" s="145"/>
      <c r="AN918" s="145"/>
      <c r="AO918" s="145"/>
      <c r="AP918" s="145"/>
      <c r="AQ918" s="145"/>
      <c r="AR918" s="145"/>
      <c r="AS918" s="145"/>
      <c r="AT918" s="146"/>
      <c r="AU918" s="146"/>
      <c r="AV918" s="145"/>
      <c r="AW918" s="145"/>
      <c r="AX918" s="145"/>
      <c r="AY918" s="145"/>
      <c r="AZ918" s="145"/>
      <c r="BA918" s="145"/>
      <c r="BB918" s="145"/>
      <c r="BC918" s="145"/>
      <c r="BD918" s="145"/>
    </row>
    <row r="919" spans="1:56" ht="18.75" customHeight="1" x14ac:dyDescent="0.55000000000000004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  <c r="AC919" s="145"/>
      <c r="AD919" s="145"/>
      <c r="AE919" s="145"/>
      <c r="AF919" s="145"/>
      <c r="AG919" s="145"/>
      <c r="AH919" s="145"/>
      <c r="AI919" s="145"/>
      <c r="AJ919" s="145"/>
      <c r="AK919" s="145"/>
      <c r="AL919" s="145"/>
      <c r="AM919" s="145"/>
      <c r="AN919" s="145"/>
      <c r="AO919" s="145"/>
      <c r="AP919" s="145"/>
      <c r="AQ919" s="145"/>
      <c r="AR919" s="145"/>
      <c r="AS919" s="145"/>
      <c r="AT919" s="146"/>
      <c r="AU919" s="146"/>
      <c r="AV919" s="145"/>
      <c r="AW919" s="145"/>
      <c r="AX919" s="145"/>
      <c r="AY919" s="145"/>
      <c r="AZ919" s="145"/>
      <c r="BA919" s="145"/>
      <c r="BB919" s="145"/>
      <c r="BC919" s="145"/>
      <c r="BD919" s="145"/>
    </row>
    <row r="920" spans="1:56" ht="18.75" customHeight="1" x14ac:dyDescent="0.55000000000000004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  <c r="AC920" s="145"/>
      <c r="AD920" s="145"/>
      <c r="AE920" s="145"/>
      <c r="AF920" s="145"/>
      <c r="AG920" s="145"/>
      <c r="AH920" s="145"/>
      <c r="AI920" s="145"/>
      <c r="AJ920" s="145"/>
      <c r="AK920" s="145"/>
      <c r="AL920" s="145"/>
      <c r="AM920" s="145"/>
      <c r="AN920" s="145"/>
      <c r="AO920" s="145"/>
      <c r="AP920" s="145"/>
      <c r="AQ920" s="145"/>
      <c r="AR920" s="145"/>
      <c r="AS920" s="145"/>
      <c r="AT920" s="146"/>
      <c r="AU920" s="146"/>
      <c r="AV920" s="145"/>
      <c r="AW920" s="145"/>
      <c r="AX920" s="145"/>
      <c r="AY920" s="145"/>
      <c r="AZ920" s="145"/>
      <c r="BA920" s="145"/>
      <c r="BB920" s="145"/>
      <c r="BC920" s="145"/>
      <c r="BD920" s="145"/>
    </row>
    <row r="921" spans="1:56" ht="18.75" customHeight="1" x14ac:dyDescent="0.55000000000000004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  <c r="AC921" s="145"/>
      <c r="AD921" s="145"/>
      <c r="AE921" s="145"/>
      <c r="AF921" s="145"/>
      <c r="AG921" s="145"/>
      <c r="AH921" s="145"/>
      <c r="AI921" s="145"/>
      <c r="AJ921" s="145"/>
      <c r="AK921" s="145"/>
      <c r="AL921" s="145"/>
      <c r="AM921" s="145"/>
      <c r="AN921" s="145"/>
      <c r="AO921" s="145"/>
      <c r="AP921" s="145"/>
      <c r="AQ921" s="145"/>
      <c r="AR921" s="145"/>
      <c r="AS921" s="145"/>
      <c r="AT921" s="146"/>
      <c r="AU921" s="146"/>
      <c r="AV921" s="145"/>
      <c r="AW921" s="145"/>
      <c r="AX921" s="145"/>
      <c r="AY921" s="145"/>
      <c r="AZ921" s="145"/>
      <c r="BA921" s="145"/>
      <c r="BB921" s="145"/>
      <c r="BC921" s="145"/>
      <c r="BD921" s="145"/>
    </row>
    <row r="922" spans="1:56" ht="18.75" customHeight="1" x14ac:dyDescent="0.55000000000000004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  <c r="AC922" s="145"/>
      <c r="AD922" s="145"/>
      <c r="AE922" s="145"/>
      <c r="AF922" s="145"/>
      <c r="AG922" s="145"/>
      <c r="AH922" s="145"/>
      <c r="AI922" s="145"/>
      <c r="AJ922" s="145"/>
      <c r="AK922" s="145"/>
      <c r="AL922" s="145"/>
      <c r="AM922" s="145"/>
      <c r="AN922" s="145"/>
      <c r="AO922" s="145"/>
      <c r="AP922" s="145"/>
      <c r="AQ922" s="145"/>
      <c r="AR922" s="145"/>
      <c r="AS922" s="145"/>
      <c r="AT922" s="146"/>
      <c r="AU922" s="146"/>
      <c r="AV922" s="145"/>
      <c r="AW922" s="145"/>
      <c r="AX922" s="145"/>
      <c r="AY922" s="145"/>
      <c r="AZ922" s="145"/>
      <c r="BA922" s="145"/>
      <c r="BB922" s="145"/>
      <c r="BC922" s="145"/>
      <c r="BD922" s="145"/>
    </row>
    <row r="923" spans="1:56" ht="18.75" customHeight="1" x14ac:dyDescent="0.55000000000000004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  <c r="AC923" s="145"/>
      <c r="AD923" s="145"/>
      <c r="AE923" s="145"/>
      <c r="AF923" s="145"/>
      <c r="AG923" s="145"/>
      <c r="AH923" s="145"/>
      <c r="AI923" s="145"/>
      <c r="AJ923" s="145"/>
      <c r="AK923" s="145"/>
      <c r="AL923" s="145"/>
      <c r="AM923" s="145"/>
      <c r="AN923" s="145"/>
      <c r="AO923" s="145"/>
      <c r="AP923" s="145"/>
      <c r="AQ923" s="145"/>
      <c r="AR923" s="145"/>
      <c r="AS923" s="145"/>
      <c r="AT923" s="146"/>
      <c r="AU923" s="146"/>
      <c r="AV923" s="145"/>
      <c r="AW923" s="145"/>
      <c r="AX923" s="145"/>
      <c r="AY923" s="145"/>
      <c r="AZ923" s="145"/>
      <c r="BA923" s="145"/>
      <c r="BB923" s="145"/>
      <c r="BC923" s="145"/>
      <c r="BD923" s="145"/>
    </row>
    <row r="924" spans="1:56" ht="18.75" customHeight="1" x14ac:dyDescent="0.55000000000000004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  <c r="AE924" s="145"/>
      <c r="AF924" s="145"/>
      <c r="AG924" s="145"/>
      <c r="AH924" s="145"/>
      <c r="AI924" s="145"/>
      <c r="AJ924" s="145"/>
      <c r="AK924" s="145"/>
      <c r="AL924" s="145"/>
      <c r="AM924" s="145"/>
      <c r="AN924" s="145"/>
      <c r="AO924" s="145"/>
      <c r="AP924" s="145"/>
      <c r="AQ924" s="145"/>
      <c r="AR924" s="145"/>
      <c r="AS924" s="145"/>
      <c r="AT924" s="146"/>
      <c r="AU924" s="146"/>
      <c r="AV924" s="145"/>
      <c r="AW924" s="145"/>
      <c r="AX924" s="145"/>
      <c r="AY924" s="145"/>
      <c r="AZ924" s="145"/>
      <c r="BA924" s="145"/>
      <c r="BB924" s="145"/>
      <c r="BC924" s="145"/>
      <c r="BD924" s="145"/>
    </row>
    <row r="925" spans="1:56" ht="18.75" customHeight="1" x14ac:dyDescent="0.55000000000000004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  <c r="AC925" s="145"/>
      <c r="AD925" s="145"/>
      <c r="AE925" s="145"/>
      <c r="AF925" s="145"/>
      <c r="AG925" s="145"/>
      <c r="AH925" s="145"/>
      <c r="AI925" s="145"/>
      <c r="AJ925" s="145"/>
      <c r="AK925" s="145"/>
      <c r="AL925" s="145"/>
      <c r="AM925" s="145"/>
      <c r="AN925" s="145"/>
      <c r="AO925" s="145"/>
      <c r="AP925" s="145"/>
      <c r="AQ925" s="145"/>
      <c r="AR925" s="145"/>
      <c r="AS925" s="145"/>
      <c r="AT925" s="146"/>
      <c r="AU925" s="146"/>
      <c r="AV925" s="145"/>
      <c r="AW925" s="145"/>
      <c r="AX925" s="145"/>
      <c r="AY925" s="145"/>
      <c r="AZ925" s="145"/>
      <c r="BA925" s="145"/>
      <c r="BB925" s="145"/>
      <c r="BC925" s="145"/>
      <c r="BD925" s="145"/>
    </row>
    <row r="926" spans="1:56" ht="18.75" customHeight="1" x14ac:dyDescent="0.55000000000000004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  <c r="AC926" s="145"/>
      <c r="AD926" s="145"/>
      <c r="AE926" s="145"/>
      <c r="AF926" s="145"/>
      <c r="AG926" s="145"/>
      <c r="AH926" s="145"/>
      <c r="AI926" s="145"/>
      <c r="AJ926" s="145"/>
      <c r="AK926" s="145"/>
      <c r="AL926" s="145"/>
      <c r="AM926" s="145"/>
      <c r="AN926" s="145"/>
      <c r="AO926" s="145"/>
      <c r="AP926" s="145"/>
      <c r="AQ926" s="145"/>
      <c r="AR926" s="145"/>
      <c r="AS926" s="145"/>
      <c r="AT926" s="146"/>
      <c r="AU926" s="146"/>
      <c r="AV926" s="145"/>
      <c r="AW926" s="145"/>
      <c r="AX926" s="145"/>
      <c r="AY926" s="145"/>
      <c r="AZ926" s="145"/>
      <c r="BA926" s="145"/>
      <c r="BB926" s="145"/>
      <c r="BC926" s="145"/>
      <c r="BD926" s="145"/>
    </row>
    <row r="927" spans="1:56" ht="18.75" customHeight="1" x14ac:dyDescent="0.55000000000000004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  <c r="AC927" s="145"/>
      <c r="AD927" s="145"/>
      <c r="AE927" s="145"/>
      <c r="AF927" s="145"/>
      <c r="AG927" s="145"/>
      <c r="AH927" s="145"/>
      <c r="AI927" s="145"/>
      <c r="AJ927" s="145"/>
      <c r="AK927" s="145"/>
      <c r="AL927" s="145"/>
      <c r="AM927" s="145"/>
      <c r="AN927" s="145"/>
      <c r="AO927" s="145"/>
      <c r="AP927" s="145"/>
      <c r="AQ927" s="145"/>
      <c r="AR927" s="145"/>
      <c r="AS927" s="145"/>
      <c r="AT927" s="146"/>
      <c r="AU927" s="146"/>
      <c r="AV927" s="145"/>
      <c r="AW927" s="145"/>
      <c r="AX927" s="145"/>
      <c r="AY927" s="145"/>
      <c r="AZ927" s="145"/>
      <c r="BA927" s="145"/>
      <c r="BB927" s="145"/>
      <c r="BC927" s="145"/>
      <c r="BD927" s="145"/>
    </row>
    <row r="928" spans="1:56" ht="18.75" customHeight="1" x14ac:dyDescent="0.55000000000000004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  <c r="AC928" s="145"/>
      <c r="AD928" s="145"/>
      <c r="AE928" s="145"/>
      <c r="AF928" s="145"/>
      <c r="AG928" s="145"/>
      <c r="AH928" s="145"/>
      <c r="AI928" s="145"/>
      <c r="AJ928" s="145"/>
      <c r="AK928" s="145"/>
      <c r="AL928" s="145"/>
      <c r="AM928" s="145"/>
      <c r="AN928" s="145"/>
      <c r="AO928" s="145"/>
      <c r="AP928" s="145"/>
      <c r="AQ928" s="145"/>
      <c r="AR928" s="145"/>
      <c r="AS928" s="145"/>
      <c r="AT928" s="146"/>
      <c r="AU928" s="146"/>
      <c r="AV928" s="145"/>
      <c r="AW928" s="145"/>
      <c r="AX928" s="145"/>
      <c r="AY928" s="145"/>
      <c r="AZ928" s="145"/>
      <c r="BA928" s="145"/>
      <c r="BB928" s="145"/>
      <c r="BC928" s="145"/>
      <c r="BD928" s="145"/>
    </row>
    <row r="929" spans="1:56" ht="18.75" customHeight="1" x14ac:dyDescent="0.55000000000000004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  <c r="AE929" s="145"/>
      <c r="AF929" s="145"/>
      <c r="AG929" s="145"/>
      <c r="AH929" s="145"/>
      <c r="AI929" s="145"/>
      <c r="AJ929" s="145"/>
      <c r="AK929" s="145"/>
      <c r="AL929" s="145"/>
      <c r="AM929" s="145"/>
      <c r="AN929" s="145"/>
      <c r="AO929" s="145"/>
      <c r="AP929" s="145"/>
      <c r="AQ929" s="145"/>
      <c r="AR929" s="145"/>
      <c r="AS929" s="145"/>
      <c r="AT929" s="146"/>
      <c r="AU929" s="146"/>
      <c r="AV929" s="145"/>
      <c r="AW929" s="145"/>
      <c r="AX929" s="145"/>
      <c r="AY929" s="145"/>
      <c r="AZ929" s="145"/>
      <c r="BA929" s="145"/>
      <c r="BB929" s="145"/>
      <c r="BC929" s="145"/>
      <c r="BD929" s="145"/>
    </row>
    <row r="930" spans="1:56" ht="18.75" customHeight="1" x14ac:dyDescent="0.55000000000000004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  <c r="AC930" s="145"/>
      <c r="AD930" s="145"/>
      <c r="AE930" s="145"/>
      <c r="AF930" s="145"/>
      <c r="AG930" s="145"/>
      <c r="AH930" s="145"/>
      <c r="AI930" s="145"/>
      <c r="AJ930" s="145"/>
      <c r="AK930" s="145"/>
      <c r="AL930" s="145"/>
      <c r="AM930" s="145"/>
      <c r="AN930" s="145"/>
      <c r="AO930" s="145"/>
      <c r="AP930" s="145"/>
      <c r="AQ930" s="145"/>
      <c r="AR930" s="145"/>
      <c r="AS930" s="145"/>
      <c r="AT930" s="146"/>
      <c r="AU930" s="146"/>
      <c r="AV930" s="145"/>
      <c r="AW930" s="145"/>
      <c r="AX930" s="145"/>
      <c r="AY930" s="145"/>
      <c r="AZ930" s="145"/>
      <c r="BA930" s="145"/>
      <c r="BB930" s="145"/>
      <c r="BC930" s="145"/>
      <c r="BD930" s="145"/>
    </row>
    <row r="931" spans="1:56" ht="18.75" customHeight="1" x14ac:dyDescent="0.55000000000000004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  <c r="AC931" s="145"/>
      <c r="AD931" s="145"/>
      <c r="AE931" s="145"/>
      <c r="AF931" s="145"/>
      <c r="AG931" s="145"/>
      <c r="AH931" s="145"/>
      <c r="AI931" s="145"/>
      <c r="AJ931" s="145"/>
      <c r="AK931" s="145"/>
      <c r="AL931" s="145"/>
      <c r="AM931" s="145"/>
      <c r="AN931" s="145"/>
      <c r="AO931" s="145"/>
      <c r="AP931" s="145"/>
      <c r="AQ931" s="145"/>
      <c r="AR931" s="145"/>
      <c r="AS931" s="145"/>
      <c r="AT931" s="146"/>
      <c r="AU931" s="146"/>
      <c r="AV931" s="145"/>
      <c r="AW931" s="145"/>
      <c r="AX931" s="145"/>
      <c r="AY931" s="145"/>
      <c r="AZ931" s="145"/>
      <c r="BA931" s="145"/>
      <c r="BB931" s="145"/>
      <c r="BC931" s="145"/>
      <c r="BD931" s="145"/>
    </row>
    <row r="932" spans="1:56" ht="18.75" customHeight="1" x14ac:dyDescent="0.55000000000000004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  <c r="AC932" s="145"/>
      <c r="AD932" s="145"/>
      <c r="AE932" s="145"/>
      <c r="AF932" s="145"/>
      <c r="AG932" s="145"/>
      <c r="AH932" s="145"/>
      <c r="AI932" s="145"/>
      <c r="AJ932" s="145"/>
      <c r="AK932" s="145"/>
      <c r="AL932" s="145"/>
      <c r="AM932" s="145"/>
      <c r="AN932" s="145"/>
      <c r="AO932" s="145"/>
      <c r="AP932" s="145"/>
      <c r="AQ932" s="145"/>
      <c r="AR932" s="145"/>
      <c r="AS932" s="145"/>
      <c r="AT932" s="146"/>
      <c r="AU932" s="146"/>
      <c r="AV932" s="145"/>
      <c r="AW932" s="145"/>
      <c r="AX932" s="145"/>
      <c r="AY932" s="145"/>
      <c r="AZ932" s="145"/>
      <c r="BA932" s="145"/>
      <c r="BB932" s="145"/>
      <c r="BC932" s="145"/>
      <c r="BD932" s="145"/>
    </row>
    <row r="933" spans="1:56" ht="18.75" customHeight="1" x14ac:dyDescent="0.55000000000000004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  <c r="AC933" s="145"/>
      <c r="AD933" s="145"/>
      <c r="AE933" s="145"/>
      <c r="AF933" s="145"/>
      <c r="AG933" s="145"/>
      <c r="AH933" s="145"/>
      <c r="AI933" s="145"/>
      <c r="AJ933" s="145"/>
      <c r="AK933" s="145"/>
      <c r="AL933" s="145"/>
      <c r="AM933" s="145"/>
      <c r="AN933" s="145"/>
      <c r="AO933" s="145"/>
      <c r="AP933" s="145"/>
      <c r="AQ933" s="145"/>
      <c r="AR933" s="145"/>
      <c r="AS933" s="145"/>
      <c r="AT933" s="146"/>
      <c r="AU933" s="146"/>
      <c r="AV933" s="145"/>
      <c r="AW933" s="145"/>
      <c r="AX933" s="145"/>
      <c r="AY933" s="145"/>
      <c r="AZ933" s="145"/>
      <c r="BA933" s="145"/>
      <c r="BB933" s="145"/>
      <c r="BC933" s="145"/>
      <c r="BD933" s="145"/>
    </row>
    <row r="934" spans="1:56" ht="18.75" customHeight="1" x14ac:dyDescent="0.55000000000000004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  <c r="AE934" s="145"/>
      <c r="AF934" s="145"/>
      <c r="AG934" s="145"/>
      <c r="AH934" s="145"/>
      <c r="AI934" s="145"/>
      <c r="AJ934" s="145"/>
      <c r="AK934" s="145"/>
      <c r="AL934" s="145"/>
      <c r="AM934" s="145"/>
      <c r="AN934" s="145"/>
      <c r="AO934" s="145"/>
      <c r="AP934" s="145"/>
      <c r="AQ934" s="145"/>
      <c r="AR934" s="145"/>
      <c r="AS934" s="145"/>
      <c r="AT934" s="146"/>
      <c r="AU934" s="146"/>
      <c r="AV934" s="145"/>
      <c r="AW934" s="145"/>
      <c r="AX934" s="145"/>
      <c r="AY934" s="145"/>
      <c r="AZ934" s="145"/>
      <c r="BA934" s="145"/>
      <c r="BB934" s="145"/>
      <c r="BC934" s="145"/>
      <c r="BD934" s="145"/>
    </row>
    <row r="935" spans="1:56" ht="18.75" customHeight="1" x14ac:dyDescent="0.55000000000000004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  <c r="AC935" s="145"/>
      <c r="AD935" s="145"/>
      <c r="AE935" s="145"/>
      <c r="AF935" s="145"/>
      <c r="AG935" s="145"/>
      <c r="AH935" s="145"/>
      <c r="AI935" s="145"/>
      <c r="AJ935" s="145"/>
      <c r="AK935" s="145"/>
      <c r="AL935" s="145"/>
      <c r="AM935" s="145"/>
      <c r="AN935" s="145"/>
      <c r="AO935" s="145"/>
      <c r="AP935" s="145"/>
      <c r="AQ935" s="145"/>
      <c r="AR935" s="145"/>
      <c r="AS935" s="145"/>
      <c r="AT935" s="146"/>
      <c r="AU935" s="146"/>
      <c r="AV935" s="145"/>
      <c r="AW935" s="145"/>
      <c r="AX935" s="145"/>
      <c r="AY935" s="145"/>
      <c r="AZ935" s="145"/>
      <c r="BA935" s="145"/>
      <c r="BB935" s="145"/>
      <c r="BC935" s="145"/>
      <c r="BD935" s="145"/>
    </row>
    <row r="936" spans="1:56" ht="18.75" customHeight="1" x14ac:dyDescent="0.55000000000000004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  <c r="AC936" s="145"/>
      <c r="AD936" s="145"/>
      <c r="AE936" s="145"/>
      <c r="AF936" s="145"/>
      <c r="AG936" s="145"/>
      <c r="AH936" s="145"/>
      <c r="AI936" s="145"/>
      <c r="AJ936" s="145"/>
      <c r="AK936" s="145"/>
      <c r="AL936" s="145"/>
      <c r="AM936" s="145"/>
      <c r="AN936" s="145"/>
      <c r="AO936" s="145"/>
      <c r="AP936" s="145"/>
      <c r="AQ936" s="145"/>
      <c r="AR936" s="145"/>
      <c r="AS936" s="145"/>
      <c r="AT936" s="146"/>
      <c r="AU936" s="146"/>
      <c r="AV936" s="145"/>
      <c r="AW936" s="145"/>
      <c r="AX936" s="145"/>
      <c r="AY936" s="145"/>
      <c r="AZ936" s="145"/>
      <c r="BA936" s="145"/>
      <c r="BB936" s="145"/>
      <c r="BC936" s="145"/>
      <c r="BD936" s="145"/>
    </row>
    <row r="937" spans="1:56" ht="18.75" customHeight="1" x14ac:dyDescent="0.55000000000000004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  <c r="AC937" s="145"/>
      <c r="AD937" s="145"/>
      <c r="AE937" s="145"/>
      <c r="AF937" s="145"/>
      <c r="AG937" s="145"/>
      <c r="AH937" s="145"/>
      <c r="AI937" s="145"/>
      <c r="AJ937" s="145"/>
      <c r="AK937" s="145"/>
      <c r="AL937" s="145"/>
      <c r="AM937" s="145"/>
      <c r="AN937" s="145"/>
      <c r="AO937" s="145"/>
      <c r="AP937" s="145"/>
      <c r="AQ937" s="145"/>
      <c r="AR937" s="145"/>
      <c r="AS937" s="145"/>
      <c r="AT937" s="146"/>
      <c r="AU937" s="146"/>
      <c r="AV937" s="145"/>
      <c r="AW937" s="145"/>
      <c r="AX937" s="145"/>
      <c r="AY937" s="145"/>
      <c r="AZ937" s="145"/>
      <c r="BA937" s="145"/>
      <c r="BB937" s="145"/>
      <c r="BC937" s="145"/>
      <c r="BD937" s="145"/>
    </row>
    <row r="938" spans="1:56" ht="18.75" customHeight="1" x14ac:dyDescent="0.55000000000000004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  <c r="AE938" s="145"/>
      <c r="AF938" s="145"/>
      <c r="AG938" s="145"/>
      <c r="AH938" s="145"/>
      <c r="AI938" s="145"/>
      <c r="AJ938" s="145"/>
      <c r="AK938" s="145"/>
      <c r="AL938" s="145"/>
      <c r="AM938" s="145"/>
      <c r="AN938" s="145"/>
      <c r="AO938" s="145"/>
      <c r="AP938" s="145"/>
      <c r="AQ938" s="145"/>
      <c r="AR938" s="145"/>
      <c r="AS938" s="145"/>
      <c r="AT938" s="146"/>
      <c r="AU938" s="146"/>
      <c r="AV938" s="145"/>
      <c r="AW938" s="145"/>
      <c r="AX938" s="145"/>
      <c r="AY938" s="145"/>
      <c r="AZ938" s="145"/>
      <c r="BA938" s="145"/>
      <c r="BB938" s="145"/>
      <c r="BC938" s="145"/>
      <c r="BD938" s="145"/>
    </row>
    <row r="939" spans="1:56" ht="18.75" customHeight="1" x14ac:dyDescent="0.55000000000000004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  <c r="AC939" s="145"/>
      <c r="AD939" s="145"/>
      <c r="AE939" s="145"/>
      <c r="AF939" s="145"/>
      <c r="AG939" s="145"/>
      <c r="AH939" s="145"/>
      <c r="AI939" s="145"/>
      <c r="AJ939" s="145"/>
      <c r="AK939" s="145"/>
      <c r="AL939" s="145"/>
      <c r="AM939" s="145"/>
      <c r="AN939" s="145"/>
      <c r="AO939" s="145"/>
      <c r="AP939" s="145"/>
      <c r="AQ939" s="145"/>
      <c r="AR939" s="145"/>
      <c r="AS939" s="145"/>
      <c r="AT939" s="146"/>
      <c r="AU939" s="146"/>
      <c r="AV939" s="145"/>
      <c r="AW939" s="145"/>
      <c r="AX939" s="145"/>
      <c r="AY939" s="145"/>
      <c r="AZ939" s="145"/>
      <c r="BA939" s="145"/>
      <c r="BB939" s="145"/>
      <c r="BC939" s="145"/>
      <c r="BD939" s="145"/>
    </row>
    <row r="940" spans="1:56" ht="18.75" customHeight="1" x14ac:dyDescent="0.55000000000000004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  <c r="AC940" s="145"/>
      <c r="AD940" s="145"/>
      <c r="AE940" s="145"/>
      <c r="AF940" s="145"/>
      <c r="AG940" s="145"/>
      <c r="AH940" s="145"/>
      <c r="AI940" s="145"/>
      <c r="AJ940" s="145"/>
      <c r="AK940" s="145"/>
      <c r="AL940" s="145"/>
      <c r="AM940" s="145"/>
      <c r="AN940" s="145"/>
      <c r="AO940" s="145"/>
      <c r="AP940" s="145"/>
      <c r="AQ940" s="145"/>
      <c r="AR940" s="145"/>
      <c r="AS940" s="145"/>
      <c r="AT940" s="146"/>
      <c r="AU940" s="146"/>
      <c r="AV940" s="145"/>
      <c r="AW940" s="145"/>
      <c r="AX940" s="145"/>
      <c r="AY940" s="145"/>
      <c r="AZ940" s="145"/>
      <c r="BA940" s="145"/>
      <c r="BB940" s="145"/>
      <c r="BC940" s="145"/>
      <c r="BD940" s="145"/>
    </row>
    <row r="941" spans="1:56" ht="18.75" customHeight="1" x14ac:dyDescent="0.55000000000000004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  <c r="AC941" s="145"/>
      <c r="AD941" s="145"/>
      <c r="AE941" s="145"/>
      <c r="AF941" s="145"/>
      <c r="AG941" s="145"/>
      <c r="AH941" s="145"/>
      <c r="AI941" s="145"/>
      <c r="AJ941" s="145"/>
      <c r="AK941" s="145"/>
      <c r="AL941" s="145"/>
      <c r="AM941" s="145"/>
      <c r="AN941" s="145"/>
      <c r="AO941" s="145"/>
      <c r="AP941" s="145"/>
      <c r="AQ941" s="145"/>
      <c r="AR941" s="145"/>
      <c r="AS941" s="145"/>
      <c r="AT941" s="146"/>
      <c r="AU941" s="146"/>
      <c r="AV941" s="145"/>
      <c r="AW941" s="145"/>
      <c r="AX941" s="145"/>
      <c r="AY941" s="145"/>
      <c r="AZ941" s="145"/>
      <c r="BA941" s="145"/>
      <c r="BB941" s="145"/>
      <c r="BC941" s="145"/>
      <c r="BD941" s="145"/>
    </row>
    <row r="942" spans="1:56" ht="18.75" customHeight="1" x14ac:dyDescent="0.55000000000000004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  <c r="AC942" s="145"/>
      <c r="AD942" s="145"/>
      <c r="AE942" s="145"/>
      <c r="AF942" s="145"/>
      <c r="AG942" s="145"/>
      <c r="AH942" s="145"/>
      <c r="AI942" s="145"/>
      <c r="AJ942" s="145"/>
      <c r="AK942" s="145"/>
      <c r="AL942" s="145"/>
      <c r="AM942" s="145"/>
      <c r="AN942" s="145"/>
      <c r="AO942" s="145"/>
      <c r="AP942" s="145"/>
      <c r="AQ942" s="145"/>
      <c r="AR942" s="145"/>
      <c r="AS942" s="145"/>
      <c r="AT942" s="146"/>
      <c r="AU942" s="146"/>
      <c r="AV942" s="145"/>
      <c r="AW942" s="145"/>
      <c r="AX942" s="145"/>
      <c r="AY942" s="145"/>
      <c r="AZ942" s="145"/>
      <c r="BA942" s="145"/>
      <c r="BB942" s="145"/>
      <c r="BC942" s="145"/>
      <c r="BD942" s="145"/>
    </row>
    <row r="943" spans="1:56" ht="18.75" customHeight="1" x14ac:dyDescent="0.55000000000000004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  <c r="AC943" s="145"/>
      <c r="AD943" s="145"/>
      <c r="AE943" s="145"/>
      <c r="AF943" s="145"/>
      <c r="AG943" s="145"/>
      <c r="AH943" s="145"/>
      <c r="AI943" s="145"/>
      <c r="AJ943" s="145"/>
      <c r="AK943" s="145"/>
      <c r="AL943" s="145"/>
      <c r="AM943" s="145"/>
      <c r="AN943" s="145"/>
      <c r="AO943" s="145"/>
      <c r="AP943" s="145"/>
      <c r="AQ943" s="145"/>
      <c r="AR943" s="145"/>
      <c r="AS943" s="145"/>
      <c r="AT943" s="146"/>
      <c r="AU943" s="146"/>
      <c r="AV943" s="145"/>
      <c r="AW943" s="145"/>
      <c r="AX943" s="145"/>
      <c r="AY943" s="145"/>
      <c r="AZ943" s="145"/>
      <c r="BA943" s="145"/>
      <c r="BB943" s="145"/>
      <c r="BC943" s="145"/>
      <c r="BD943" s="145"/>
    </row>
    <row r="944" spans="1:56" ht="18.75" customHeight="1" x14ac:dyDescent="0.55000000000000004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  <c r="AC944" s="145"/>
      <c r="AD944" s="145"/>
      <c r="AE944" s="145"/>
      <c r="AF944" s="145"/>
      <c r="AG944" s="145"/>
      <c r="AH944" s="145"/>
      <c r="AI944" s="145"/>
      <c r="AJ944" s="145"/>
      <c r="AK944" s="145"/>
      <c r="AL944" s="145"/>
      <c r="AM944" s="145"/>
      <c r="AN944" s="145"/>
      <c r="AO944" s="145"/>
      <c r="AP944" s="145"/>
      <c r="AQ944" s="145"/>
      <c r="AR944" s="145"/>
      <c r="AS944" s="145"/>
      <c r="AT944" s="146"/>
      <c r="AU944" s="146"/>
      <c r="AV944" s="145"/>
      <c r="AW944" s="145"/>
      <c r="AX944" s="145"/>
      <c r="AY944" s="145"/>
      <c r="AZ944" s="145"/>
      <c r="BA944" s="145"/>
      <c r="BB944" s="145"/>
      <c r="BC944" s="145"/>
      <c r="BD944" s="145"/>
    </row>
    <row r="945" spans="1:56" ht="18.75" customHeight="1" x14ac:dyDescent="0.55000000000000004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  <c r="AC945" s="145"/>
      <c r="AD945" s="145"/>
      <c r="AE945" s="145"/>
      <c r="AF945" s="145"/>
      <c r="AG945" s="145"/>
      <c r="AH945" s="145"/>
      <c r="AI945" s="145"/>
      <c r="AJ945" s="145"/>
      <c r="AK945" s="145"/>
      <c r="AL945" s="145"/>
      <c r="AM945" s="145"/>
      <c r="AN945" s="145"/>
      <c r="AO945" s="145"/>
      <c r="AP945" s="145"/>
      <c r="AQ945" s="145"/>
      <c r="AR945" s="145"/>
      <c r="AS945" s="145"/>
      <c r="AT945" s="146"/>
      <c r="AU945" s="146"/>
      <c r="AV945" s="145"/>
      <c r="AW945" s="145"/>
      <c r="AX945" s="145"/>
      <c r="AY945" s="145"/>
      <c r="AZ945" s="145"/>
      <c r="BA945" s="145"/>
      <c r="BB945" s="145"/>
      <c r="BC945" s="145"/>
      <c r="BD945" s="145"/>
    </row>
    <row r="946" spans="1:56" ht="18.75" customHeight="1" x14ac:dyDescent="0.55000000000000004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  <c r="AC946" s="145"/>
      <c r="AD946" s="145"/>
      <c r="AE946" s="145"/>
      <c r="AF946" s="145"/>
      <c r="AG946" s="145"/>
      <c r="AH946" s="145"/>
      <c r="AI946" s="145"/>
      <c r="AJ946" s="145"/>
      <c r="AK946" s="145"/>
      <c r="AL946" s="145"/>
      <c r="AM946" s="145"/>
      <c r="AN946" s="145"/>
      <c r="AO946" s="145"/>
      <c r="AP946" s="145"/>
      <c r="AQ946" s="145"/>
      <c r="AR946" s="145"/>
      <c r="AS946" s="145"/>
      <c r="AT946" s="146"/>
      <c r="AU946" s="146"/>
      <c r="AV946" s="145"/>
      <c r="AW946" s="145"/>
      <c r="AX946" s="145"/>
      <c r="AY946" s="145"/>
      <c r="AZ946" s="145"/>
      <c r="BA946" s="145"/>
      <c r="BB946" s="145"/>
      <c r="BC946" s="145"/>
      <c r="BD946" s="145"/>
    </row>
    <row r="947" spans="1:56" ht="18.75" customHeight="1" x14ac:dyDescent="0.55000000000000004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  <c r="AC947" s="145"/>
      <c r="AD947" s="145"/>
      <c r="AE947" s="145"/>
      <c r="AF947" s="145"/>
      <c r="AG947" s="145"/>
      <c r="AH947" s="145"/>
      <c r="AI947" s="145"/>
      <c r="AJ947" s="145"/>
      <c r="AK947" s="145"/>
      <c r="AL947" s="145"/>
      <c r="AM947" s="145"/>
      <c r="AN947" s="145"/>
      <c r="AO947" s="145"/>
      <c r="AP947" s="145"/>
      <c r="AQ947" s="145"/>
      <c r="AR947" s="145"/>
      <c r="AS947" s="145"/>
      <c r="AT947" s="146"/>
      <c r="AU947" s="146"/>
      <c r="AV947" s="145"/>
      <c r="AW947" s="145"/>
      <c r="AX947" s="145"/>
      <c r="AY947" s="145"/>
      <c r="AZ947" s="145"/>
      <c r="BA947" s="145"/>
      <c r="BB947" s="145"/>
      <c r="BC947" s="145"/>
      <c r="BD947" s="145"/>
    </row>
    <row r="948" spans="1:56" ht="18.75" customHeight="1" x14ac:dyDescent="0.55000000000000004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  <c r="AC948" s="145"/>
      <c r="AD948" s="145"/>
      <c r="AE948" s="145"/>
      <c r="AF948" s="145"/>
      <c r="AG948" s="145"/>
      <c r="AH948" s="145"/>
      <c r="AI948" s="145"/>
      <c r="AJ948" s="145"/>
      <c r="AK948" s="145"/>
      <c r="AL948" s="145"/>
      <c r="AM948" s="145"/>
      <c r="AN948" s="145"/>
      <c r="AO948" s="145"/>
      <c r="AP948" s="145"/>
      <c r="AQ948" s="145"/>
      <c r="AR948" s="145"/>
      <c r="AS948" s="145"/>
      <c r="AT948" s="146"/>
      <c r="AU948" s="146"/>
      <c r="AV948" s="145"/>
      <c r="AW948" s="145"/>
      <c r="AX948" s="145"/>
      <c r="AY948" s="145"/>
      <c r="AZ948" s="145"/>
      <c r="BA948" s="145"/>
      <c r="BB948" s="145"/>
      <c r="BC948" s="145"/>
      <c r="BD948" s="145"/>
    </row>
    <row r="949" spans="1:56" ht="18.75" customHeight="1" x14ac:dyDescent="0.55000000000000004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  <c r="AC949" s="145"/>
      <c r="AD949" s="145"/>
      <c r="AE949" s="145"/>
      <c r="AF949" s="145"/>
      <c r="AG949" s="145"/>
      <c r="AH949" s="145"/>
      <c r="AI949" s="145"/>
      <c r="AJ949" s="145"/>
      <c r="AK949" s="145"/>
      <c r="AL949" s="145"/>
      <c r="AM949" s="145"/>
      <c r="AN949" s="145"/>
      <c r="AO949" s="145"/>
      <c r="AP949" s="145"/>
      <c r="AQ949" s="145"/>
      <c r="AR949" s="145"/>
      <c r="AS949" s="145"/>
      <c r="AT949" s="146"/>
      <c r="AU949" s="146"/>
      <c r="AV949" s="145"/>
      <c r="AW949" s="145"/>
      <c r="AX949" s="145"/>
      <c r="AY949" s="145"/>
      <c r="AZ949" s="145"/>
      <c r="BA949" s="145"/>
      <c r="BB949" s="145"/>
      <c r="BC949" s="145"/>
      <c r="BD949" s="145"/>
    </row>
    <row r="950" spans="1:56" ht="18.75" customHeight="1" x14ac:dyDescent="0.55000000000000004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  <c r="AC950" s="145"/>
      <c r="AD950" s="145"/>
      <c r="AE950" s="145"/>
      <c r="AF950" s="145"/>
      <c r="AG950" s="145"/>
      <c r="AH950" s="145"/>
      <c r="AI950" s="145"/>
      <c r="AJ950" s="145"/>
      <c r="AK950" s="145"/>
      <c r="AL950" s="145"/>
      <c r="AM950" s="145"/>
      <c r="AN950" s="145"/>
      <c r="AO950" s="145"/>
      <c r="AP950" s="145"/>
      <c r="AQ950" s="145"/>
      <c r="AR950" s="145"/>
      <c r="AS950" s="145"/>
      <c r="AT950" s="146"/>
      <c r="AU950" s="146"/>
      <c r="AV950" s="145"/>
      <c r="AW950" s="145"/>
      <c r="AX950" s="145"/>
      <c r="AY950" s="145"/>
      <c r="AZ950" s="145"/>
      <c r="BA950" s="145"/>
      <c r="BB950" s="145"/>
      <c r="BC950" s="145"/>
      <c r="BD950" s="145"/>
    </row>
    <row r="951" spans="1:56" ht="18.75" customHeight="1" x14ac:dyDescent="0.55000000000000004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  <c r="AC951" s="145"/>
      <c r="AD951" s="145"/>
      <c r="AE951" s="145"/>
      <c r="AF951" s="145"/>
      <c r="AG951" s="145"/>
      <c r="AH951" s="145"/>
      <c r="AI951" s="145"/>
      <c r="AJ951" s="145"/>
      <c r="AK951" s="145"/>
      <c r="AL951" s="145"/>
      <c r="AM951" s="145"/>
      <c r="AN951" s="145"/>
      <c r="AO951" s="145"/>
      <c r="AP951" s="145"/>
      <c r="AQ951" s="145"/>
      <c r="AR951" s="145"/>
      <c r="AS951" s="145"/>
      <c r="AT951" s="146"/>
      <c r="AU951" s="146"/>
      <c r="AV951" s="145"/>
      <c r="AW951" s="145"/>
      <c r="AX951" s="145"/>
      <c r="AY951" s="145"/>
      <c r="AZ951" s="145"/>
      <c r="BA951" s="145"/>
      <c r="BB951" s="145"/>
      <c r="BC951" s="145"/>
      <c r="BD951" s="145"/>
    </row>
    <row r="952" spans="1:56" ht="18.75" customHeight="1" x14ac:dyDescent="0.55000000000000004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  <c r="AC952" s="145"/>
      <c r="AD952" s="145"/>
      <c r="AE952" s="145"/>
      <c r="AF952" s="145"/>
      <c r="AG952" s="145"/>
      <c r="AH952" s="145"/>
      <c r="AI952" s="145"/>
      <c r="AJ952" s="145"/>
      <c r="AK952" s="145"/>
      <c r="AL952" s="145"/>
      <c r="AM952" s="145"/>
      <c r="AN952" s="145"/>
      <c r="AO952" s="145"/>
      <c r="AP952" s="145"/>
      <c r="AQ952" s="145"/>
      <c r="AR952" s="145"/>
      <c r="AS952" s="145"/>
      <c r="AT952" s="146"/>
      <c r="AU952" s="146"/>
      <c r="AV952" s="145"/>
      <c r="AW952" s="145"/>
      <c r="AX952" s="145"/>
      <c r="AY952" s="145"/>
      <c r="AZ952" s="145"/>
      <c r="BA952" s="145"/>
      <c r="BB952" s="145"/>
      <c r="BC952" s="145"/>
      <c r="BD952" s="145"/>
    </row>
    <row r="953" spans="1:56" ht="18.75" customHeight="1" x14ac:dyDescent="0.55000000000000004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  <c r="AC953" s="145"/>
      <c r="AD953" s="145"/>
      <c r="AE953" s="145"/>
      <c r="AF953" s="145"/>
      <c r="AG953" s="145"/>
      <c r="AH953" s="145"/>
      <c r="AI953" s="145"/>
      <c r="AJ953" s="145"/>
      <c r="AK953" s="145"/>
      <c r="AL953" s="145"/>
      <c r="AM953" s="145"/>
      <c r="AN953" s="145"/>
      <c r="AO953" s="145"/>
      <c r="AP953" s="145"/>
      <c r="AQ953" s="145"/>
      <c r="AR953" s="145"/>
      <c r="AS953" s="145"/>
      <c r="AT953" s="146"/>
      <c r="AU953" s="146"/>
      <c r="AV953" s="145"/>
      <c r="AW953" s="145"/>
      <c r="AX953" s="145"/>
      <c r="AY953" s="145"/>
      <c r="AZ953" s="145"/>
      <c r="BA953" s="145"/>
      <c r="BB953" s="145"/>
      <c r="BC953" s="145"/>
      <c r="BD953" s="145"/>
    </row>
    <row r="954" spans="1:56" ht="18.75" customHeight="1" x14ac:dyDescent="0.55000000000000004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  <c r="AC954" s="145"/>
      <c r="AD954" s="145"/>
      <c r="AE954" s="145"/>
      <c r="AF954" s="145"/>
      <c r="AG954" s="145"/>
      <c r="AH954" s="145"/>
      <c r="AI954" s="145"/>
      <c r="AJ954" s="145"/>
      <c r="AK954" s="145"/>
      <c r="AL954" s="145"/>
      <c r="AM954" s="145"/>
      <c r="AN954" s="145"/>
      <c r="AO954" s="145"/>
      <c r="AP954" s="145"/>
      <c r="AQ954" s="145"/>
      <c r="AR954" s="145"/>
      <c r="AS954" s="145"/>
      <c r="AT954" s="146"/>
      <c r="AU954" s="146"/>
      <c r="AV954" s="145"/>
      <c r="AW954" s="145"/>
      <c r="AX954" s="145"/>
      <c r="AY954" s="145"/>
      <c r="AZ954" s="145"/>
      <c r="BA954" s="145"/>
      <c r="BB954" s="145"/>
      <c r="BC954" s="145"/>
      <c r="BD954" s="145"/>
    </row>
    <row r="955" spans="1:56" ht="18.75" customHeight="1" x14ac:dyDescent="0.55000000000000004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  <c r="AC955" s="145"/>
      <c r="AD955" s="145"/>
      <c r="AE955" s="145"/>
      <c r="AF955" s="145"/>
      <c r="AG955" s="145"/>
      <c r="AH955" s="145"/>
      <c r="AI955" s="145"/>
      <c r="AJ955" s="145"/>
      <c r="AK955" s="145"/>
      <c r="AL955" s="145"/>
      <c r="AM955" s="145"/>
      <c r="AN955" s="145"/>
      <c r="AO955" s="145"/>
      <c r="AP955" s="145"/>
      <c r="AQ955" s="145"/>
      <c r="AR955" s="145"/>
      <c r="AS955" s="145"/>
      <c r="AT955" s="146"/>
      <c r="AU955" s="146"/>
      <c r="AV955" s="145"/>
      <c r="AW955" s="145"/>
      <c r="AX955" s="145"/>
      <c r="AY955" s="145"/>
      <c r="AZ955" s="145"/>
      <c r="BA955" s="145"/>
      <c r="BB955" s="145"/>
      <c r="BC955" s="145"/>
      <c r="BD955" s="145"/>
    </row>
    <row r="956" spans="1:56" ht="18.75" customHeight="1" x14ac:dyDescent="0.55000000000000004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  <c r="AC956" s="145"/>
      <c r="AD956" s="145"/>
      <c r="AE956" s="145"/>
      <c r="AF956" s="145"/>
      <c r="AG956" s="145"/>
      <c r="AH956" s="145"/>
      <c r="AI956" s="145"/>
      <c r="AJ956" s="145"/>
      <c r="AK956" s="145"/>
      <c r="AL956" s="145"/>
      <c r="AM956" s="145"/>
      <c r="AN956" s="145"/>
      <c r="AO956" s="145"/>
      <c r="AP956" s="145"/>
      <c r="AQ956" s="145"/>
      <c r="AR956" s="145"/>
      <c r="AS956" s="145"/>
      <c r="AT956" s="146"/>
      <c r="AU956" s="146"/>
      <c r="AV956" s="145"/>
      <c r="AW956" s="145"/>
      <c r="AX956" s="145"/>
      <c r="AY956" s="145"/>
      <c r="AZ956" s="145"/>
      <c r="BA956" s="145"/>
      <c r="BB956" s="145"/>
      <c r="BC956" s="145"/>
      <c r="BD956" s="145"/>
    </row>
    <row r="957" spans="1:56" ht="18.75" customHeight="1" x14ac:dyDescent="0.55000000000000004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  <c r="AC957" s="145"/>
      <c r="AD957" s="145"/>
      <c r="AE957" s="145"/>
      <c r="AF957" s="145"/>
      <c r="AG957" s="145"/>
      <c r="AH957" s="145"/>
      <c r="AI957" s="145"/>
      <c r="AJ957" s="145"/>
      <c r="AK957" s="145"/>
      <c r="AL957" s="145"/>
      <c r="AM957" s="145"/>
      <c r="AN957" s="145"/>
      <c r="AO957" s="145"/>
      <c r="AP957" s="145"/>
      <c r="AQ957" s="145"/>
      <c r="AR957" s="145"/>
      <c r="AS957" s="145"/>
      <c r="AT957" s="146"/>
      <c r="AU957" s="146"/>
      <c r="AV957" s="145"/>
      <c r="AW957" s="145"/>
      <c r="AX957" s="145"/>
      <c r="AY957" s="145"/>
      <c r="AZ957" s="145"/>
      <c r="BA957" s="145"/>
      <c r="BB957" s="145"/>
      <c r="BC957" s="145"/>
      <c r="BD957" s="145"/>
    </row>
    <row r="958" spans="1:56" ht="18.75" customHeight="1" x14ac:dyDescent="0.55000000000000004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  <c r="AC958" s="145"/>
      <c r="AD958" s="145"/>
      <c r="AE958" s="145"/>
      <c r="AF958" s="145"/>
      <c r="AG958" s="145"/>
      <c r="AH958" s="145"/>
      <c r="AI958" s="145"/>
      <c r="AJ958" s="145"/>
      <c r="AK958" s="145"/>
      <c r="AL958" s="145"/>
      <c r="AM958" s="145"/>
      <c r="AN958" s="145"/>
      <c r="AO958" s="145"/>
      <c r="AP958" s="145"/>
      <c r="AQ958" s="145"/>
      <c r="AR958" s="145"/>
      <c r="AS958" s="145"/>
      <c r="AT958" s="146"/>
      <c r="AU958" s="146"/>
      <c r="AV958" s="145"/>
      <c r="AW958" s="145"/>
      <c r="AX958" s="145"/>
      <c r="AY958" s="145"/>
      <c r="AZ958" s="145"/>
      <c r="BA958" s="145"/>
      <c r="BB958" s="145"/>
      <c r="BC958" s="145"/>
      <c r="BD958" s="145"/>
    </row>
    <row r="959" spans="1:56" ht="18.75" customHeight="1" x14ac:dyDescent="0.55000000000000004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  <c r="AC959" s="145"/>
      <c r="AD959" s="145"/>
      <c r="AE959" s="145"/>
      <c r="AF959" s="145"/>
      <c r="AG959" s="145"/>
      <c r="AH959" s="145"/>
      <c r="AI959" s="145"/>
      <c r="AJ959" s="145"/>
      <c r="AK959" s="145"/>
      <c r="AL959" s="145"/>
      <c r="AM959" s="145"/>
      <c r="AN959" s="145"/>
      <c r="AO959" s="145"/>
      <c r="AP959" s="145"/>
      <c r="AQ959" s="145"/>
      <c r="AR959" s="145"/>
      <c r="AS959" s="145"/>
      <c r="AT959" s="146"/>
      <c r="AU959" s="146"/>
      <c r="AV959" s="145"/>
      <c r="AW959" s="145"/>
      <c r="AX959" s="145"/>
      <c r="AY959" s="145"/>
      <c r="AZ959" s="145"/>
      <c r="BA959" s="145"/>
      <c r="BB959" s="145"/>
      <c r="BC959" s="145"/>
      <c r="BD959" s="145"/>
    </row>
    <row r="960" spans="1:56" ht="18.75" customHeight="1" x14ac:dyDescent="0.55000000000000004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  <c r="AC960" s="145"/>
      <c r="AD960" s="145"/>
      <c r="AE960" s="145"/>
      <c r="AF960" s="145"/>
      <c r="AG960" s="145"/>
      <c r="AH960" s="145"/>
      <c r="AI960" s="145"/>
      <c r="AJ960" s="145"/>
      <c r="AK960" s="145"/>
      <c r="AL960" s="145"/>
      <c r="AM960" s="145"/>
      <c r="AN960" s="145"/>
      <c r="AO960" s="145"/>
      <c r="AP960" s="145"/>
      <c r="AQ960" s="145"/>
      <c r="AR960" s="145"/>
      <c r="AS960" s="145"/>
      <c r="AT960" s="146"/>
      <c r="AU960" s="146"/>
      <c r="AV960" s="145"/>
      <c r="AW960" s="145"/>
      <c r="AX960" s="145"/>
      <c r="AY960" s="145"/>
      <c r="AZ960" s="145"/>
      <c r="BA960" s="145"/>
      <c r="BB960" s="145"/>
      <c r="BC960" s="145"/>
      <c r="BD960" s="145"/>
    </row>
    <row r="961" spans="1:56" ht="18.75" customHeight="1" x14ac:dyDescent="0.55000000000000004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  <c r="AC961" s="145"/>
      <c r="AD961" s="145"/>
      <c r="AE961" s="145"/>
      <c r="AF961" s="145"/>
      <c r="AG961" s="145"/>
      <c r="AH961" s="145"/>
      <c r="AI961" s="145"/>
      <c r="AJ961" s="145"/>
      <c r="AK961" s="145"/>
      <c r="AL961" s="145"/>
      <c r="AM961" s="145"/>
      <c r="AN961" s="145"/>
      <c r="AO961" s="145"/>
      <c r="AP961" s="145"/>
      <c r="AQ961" s="145"/>
      <c r="AR961" s="145"/>
      <c r="AS961" s="145"/>
      <c r="AT961" s="146"/>
      <c r="AU961" s="146"/>
      <c r="AV961" s="145"/>
      <c r="AW961" s="145"/>
      <c r="AX961" s="145"/>
      <c r="AY961" s="145"/>
      <c r="AZ961" s="145"/>
      <c r="BA961" s="145"/>
      <c r="BB961" s="145"/>
      <c r="BC961" s="145"/>
      <c r="BD961" s="145"/>
    </row>
    <row r="962" spans="1:56" ht="18.75" customHeight="1" x14ac:dyDescent="0.55000000000000004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  <c r="AB962" s="145"/>
      <c r="AC962" s="145"/>
      <c r="AD962" s="145"/>
      <c r="AE962" s="145"/>
      <c r="AF962" s="145"/>
      <c r="AG962" s="145"/>
      <c r="AH962" s="145"/>
      <c r="AI962" s="145"/>
      <c r="AJ962" s="145"/>
      <c r="AK962" s="145"/>
      <c r="AL962" s="145"/>
      <c r="AM962" s="145"/>
      <c r="AN962" s="145"/>
      <c r="AO962" s="145"/>
      <c r="AP962" s="145"/>
      <c r="AQ962" s="145"/>
      <c r="AR962" s="145"/>
      <c r="AS962" s="145"/>
      <c r="AT962" s="146"/>
      <c r="AU962" s="146"/>
      <c r="AV962" s="145"/>
      <c r="AW962" s="145"/>
      <c r="AX962" s="145"/>
      <c r="AY962" s="145"/>
      <c r="AZ962" s="145"/>
      <c r="BA962" s="145"/>
      <c r="BB962" s="145"/>
      <c r="BC962" s="145"/>
      <c r="BD962" s="145"/>
    </row>
    <row r="963" spans="1:56" ht="18.75" customHeight="1" x14ac:dyDescent="0.55000000000000004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  <c r="AB963" s="145"/>
      <c r="AC963" s="145"/>
      <c r="AD963" s="145"/>
      <c r="AE963" s="145"/>
      <c r="AF963" s="145"/>
      <c r="AG963" s="145"/>
      <c r="AH963" s="145"/>
      <c r="AI963" s="145"/>
      <c r="AJ963" s="145"/>
      <c r="AK963" s="145"/>
      <c r="AL963" s="145"/>
      <c r="AM963" s="145"/>
      <c r="AN963" s="145"/>
      <c r="AO963" s="145"/>
      <c r="AP963" s="145"/>
      <c r="AQ963" s="145"/>
      <c r="AR963" s="145"/>
      <c r="AS963" s="145"/>
      <c r="AT963" s="146"/>
      <c r="AU963" s="146"/>
      <c r="AV963" s="145"/>
      <c r="AW963" s="145"/>
      <c r="AX963" s="145"/>
      <c r="AY963" s="145"/>
      <c r="AZ963" s="145"/>
      <c r="BA963" s="145"/>
      <c r="BB963" s="145"/>
      <c r="BC963" s="145"/>
      <c r="BD963" s="145"/>
    </row>
    <row r="964" spans="1:56" ht="18.75" customHeight="1" x14ac:dyDescent="0.55000000000000004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  <c r="AC964" s="145"/>
      <c r="AD964" s="145"/>
      <c r="AE964" s="145"/>
      <c r="AF964" s="145"/>
      <c r="AG964" s="145"/>
      <c r="AH964" s="145"/>
      <c r="AI964" s="145"/>
      <c r="AJ964" s="145"/>
      <c r="AK964" s="145"/>
      <c r="AL964" s="145"/>
      <c r="AM964" s="145"/>
      <c r="AN964" s="145"/>
      <c r="AO964" s="145"/>
      <c r="AP964" s="145"/>
      <c r="AQ964" s="145"/>
      <c r="AR964" s="145"/>
      <c r="AS964" s="145"/>
      <c r="AT964" s="146"/>
      <c r="AU964" s="146"/>
      <c r="AV964" s="145"/>
      <c r="AW964" s="145"/>
      <c r="AX964" s="145"/>
      <c r="AY964" s="145"/>
      <c r="AZ964" s="145"/>
      <c r="BA964" s="145"/>
      <c r="BB964" s="145"/>
      <c r="BC964" s="145"/>
      <c r="BD964" s="145"/>
    </row>
    <row r="965" spans="1:56" ht="18.75" customHeight="1" x14ac:dyDescent="0.55000000000000004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  <c r="AC965" s="145"/>
      <c r="AD965" s="145"/>
      <c r="AE965" s="145"/>
      <c r="AF965" s="145"/>
      <c r="AG965" s="145"/>
      <c r="AH965" s="145"/>
      <c r="AI965" s="145"/>
      <c r="AJ965" s="145"/>
      <c r="AK965" s="145"/>
      <c r="AL965" s="145"/>
      <c r="AM965" s="145"/>
      <c r="AN965" s="145"/>
      <c r="AO965" s="145"/>
      <c r="AP965" s="145"/>
      <c r="AQ965" s="145"/>
      <c r="AR965" s="145"/>
      <c r="AS965" s="145"/>
      <c r="AT965" s="146"/>
      <c r="AU965" s="146"/>
      <c r="AV965" s="145"/>
      <c r="AW965" s="145"/>
      <c r="AX965" s="145"/>
      <c r="AY965" s="145"/>
      <c r="AZ965" s="145"/>
      <c r="BA965" s="145"/>
      <c r="BB965" s="145"/>
      <c r="BC965" s="145"/>
      <c r="BD965" s="145"/>
    </row>
    <row r="966" spans="1:56" ht="18.75" customHeight="1" x14ac:dyDescent="0.55000000000000004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  <c r="AC966" s="145"/>
      <c r="AD966" s="145"/>
      <c r="AE966" s="145"/>
      <c r="AF966" s="145"/>
      <c r="AG966" s="145"/>
      <c r="AH966" s="145"/>
      <c r="AI966" s="145"/>
      <c r="AJ966" s="145"/>
      <c r="AK966" s="145"/>
      <c r="AL966" s="145"/>
      <c r="AM966" s="145"/>
      <c r="AN966" s="145"/>
      <c r="AO966" s="145"/>
      <c r="AP966" s="145"/>
      <c r="AQ966" s="145"/>
      <c r="AR966" s="145"/>
      <c r="AS966" s="145"/>
      <c r="AT966" s="146"/>
      <c r="AU966" s="146"/>
      <c r="AV966" s="145"/>
      <c r="AW966" s="145"/>
      <c r="AX966" s="145"/>
      <c r="AY966" s="145"/>
      <c r="AZ966" s="145"/>
      <c r="BA966" s="145"/>
      <c r="BB966" s="145"/>
      <c r="BC966" s="145"/>
      <c r="BD966" s="145"/>
    </row>
    <row r="967" spans="1:56" ht="18.75" customHeight="1" x14ac:dyDescent="0.55000000000000004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  <c r="AC967" s="145"/>
      <c r="AD967" s="145"/>
      <c r="AE967" s="145"/>
      <c r="AF967" s="145"/>
      <c r="AG967" s="145"/>
      <c r="AH967" s="145"/>
      <c r="AI967" s="145"/>
      <c r="AJ967" s="145"/>
      <c r="AK967" s="145"/>
      <c r="AL967" s="145"/>
      <c r="AM967" s="145"/>
      <c r="AN967" s="145"/>
      <c r="AO967" s="145"/>
      <c r="AP967" s="145"/>
      <c r="AQ967" s="145"/>
      <c r="AR967" s="145"/>
      <c r="AS967" s="145"/>
      <c r="AT967" s="146"/>
      <c r="AU967" s="146"/>
      <c r="AV967" s="145"/>
      <c r="AW967" s="145"/>
      <c r="AX967" s="145"/>
      <c r="AY967" s="145"/>
      <c r="AZ967" s="145"/>
      <c r="BA967" s="145"/>
      <c r="BB967" s="145"/>
      <c r="BC967" s="145"/>
      <c r="BD967" s="145"/>
    </row>
    <row r="968" spans="1:56" ht="18.75" customHeight="1" x14ac:dyDescent="0.55000000000000004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  <c r="AC968" s="145"/>
      <c r="AD968" s="145"/>
      <c r="AE968" s="145"/>
      <c r="AF968" s="145"/>
      <c r="AG968" s="145"/>
      <c r="AH968" s="145"/>
      <c r="AI968" s="145"/>
      <c r="AJ968" s="145"/>
      <c r="AK968" s="145"/>
      <c r="AL968" s="145"/>
      <c r="AM968" s="145"/>
      <c r="AN968" s="145"/>
      <c r="AO968" s="145"/>
      <c r="AP968" s="145"/>
      <c r="AQ968" s="145"/>
      <c r="AR968" s="145"/>
      <c r="AS968" s="145"/>
      <c r="AT968" s="146"/>
      <c r="AU968" s="146"/>
      <c r="AV968" s="145"/>
      <c r="AW968" s="145"/>
      <c r="AX968" s="145"/>
      <c r="AY968" s="145"/>
      <c r="AZ968" s="145"/>
      <c r="BA968" s="145"/>
      <c r="BB968" s="145"/>
      <c r="BC968" s="145"/>
      <c r="BD968" s="145"/>
    </row>
    <row r="969" spans="1:56" ht="18.75" customHeight="1" x14ac:dyDescent="0.55000000000000004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  <c r="AC969" s="145"/>
      <c r="AD969" s="145"/>
      <c r="AE969" s="145"/>
      <c r="AF969" s="145"/>
      <c r="AG969" s="145"/>
      <c r="AH969" s="145"/>
      <c r="AI969" s="145"/>
      <c r="AJ969" s="145"/>
      <c r="AK969" s="145"/>
      <c r="AL969" s="145"/>
      <c r="AM969" s="145"/>
      <c r="AN969" s="145"/>
      <c r="AO969" s="145"/>
      <c r="AP969" s="145"/>
      <c r="AQ969" s="145"/>
      <c r="AR969" s="145"/>
      <c r="AS969" s="145"/>
      <c r="AT969" s="146"/>
      <c r="AU969" s="146"/>
      <c r="AV969" s="145"/>
      <c r="AW969" s="145"/>
      <c r="AX969" s="145"/>
      <c r="AY969" s="145"/>
      <c r="AZ969" s="145"/>
      <c r="BA969" s="145"/>
      <c r="BB969" s="145"/>
      <c r="BC969" s="145"/>
      <c r="BD969" s="145"/>
    </row>
    <row r="970" spans="1:56" ht="18.75" customHeight="1" x14ac:dyDescent="0.55000000000000004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  <c r="AC970" s="145"/>
      <c r="AD970" s="145"/>
      <c r="AE970" s="145"/>
      <c r="AF970" s="145"/>
      <c r="AG970" s="145"/>
      <c r="AH970" s="145"/>
      <c r="AI970" s="145"/>
      <c r="AJ970" s="145"/>
      <c r="AK970" s="145"/>
      <c r="AL970" s="145"/>
      <c r="AM970" s="145"/>
      <c r="AN970" s="145"/>
      <c r="AO970" s="145"/>
      <c r="AP970" s="145"/>
      <c r="AQ970" s="145"/>
      <c r="AR970" s="145"/>
      <c r="AS970" s="145"/>
      <c r="AT970" s="146"/>
      <c r="AU970" s="146"/>
      <c r="AV970" s="145"/>
      <c r="AW970" s="145"/>
      <c r="AX970" s="145"/>
      <c r="AY970" s="145"/>
      <c r="AZ970" s="145"/>
      <c r="BA970" s="145"/>
      <c r="BB970" s="145"/>
      <c r="BC970" s="145"/>
      <c r="BD970" s="145"/>
    </row>
    <row r="971" spans="1:56" ht="18.75" customHeight="1" x14ac:dyDescent="0.55000000000000004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  <c r="AC971" s="145"/>
      <c r="AD971" s="145"/>
      <c r="AE971" s="145"/>
      <c r="AF971" s="145"/>
      <c r="AG971" s="145"/>
      <c r="AH971" s="145"/>
      <c r="AI971" s="145"/>
      <c r="AJ971" s="145"/>
      <c r="AK971" s="145"/>
      <c r="AL971" s="145"/>
      <c r="AM971" s="145"/>
      <c r="AN971" s="145"/>
      <c r="AO971" s="145"/>
      <c r="AP971" s="145"/>
      <c r="AQ971" s="145"/>
      <c r="AR971" s="145"/>
      <c r="AS971" s="145"/>
      <c r="AT971" s="146"/>
      <c r="AU971" s="146"/>
      <c r="AV971" s="145"/>
      <c r="AW971" s="145"/>
      <c r="AX971" s="145"/>
      <c r="AY971" s="145"/>
      <c r="AZ971" s="145"/>
      <c r="BA971" s="145"/>
      <c r="BB971" s="145"/>
      <c r="BC971" s="145"/>
      <c r="BD971" s="145"/>
    </row>
    <row r="972" spans="1:56" ht="18.75" customHeight="1" x14ac:dyDescent="0.55000000000000004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  <c r="AC972" s="145"/>
      <c r="AD972" s="145"/>
      <c r="AE972" s="145"/>
      <c r="AF972" s="145"/>
      <c r="AG972" s="145"/>
      <c r="AH972" s="145"/>
      <c r="AI972" s="145"/>
      <c r="AJ972" s="145"/>
      <c r="AK972" s="145"/>
      <c r="AL972" s="145"/>
      <c r="AM972" s="145"/>
      <c r="AN972" s="145"/>
      <c r="AO972" s="145"/>
      <c r="AP972" s="145"/>
      <c r="AQ972" s="145"/>
      <c r="AR972" s="145"/>
      <c r="AS972" s="145"/>
      <c r="AT972" s="146"/>
      <c r="AU972" s="146"/>
      <c r="AV972" s="145"/>
      <c r="AW972" s="145"/>
      <c r="AX972" s="145"/>
      <c r="AY972" s="145"/>
      <c r="AZ972" s="145"/>
      <c r="BA972" s="145"/>
      <c r="BB972" s="145"/>
      <c r="BC972" s="145"/>
      <c r="BD972" s="145"/>
    </row>
    <row r="973" spans="1:56" ht="18.75" customHeight="1" x14ac:dyDescent="0.55000000000000004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  <c r="AC973" s="145"/>
      <c r="AD973" s="145"/>
      <c r="AE973" s="145"/>
      <c r="AF973" s="145"/>
      <c r="AG973" s="145"/>
      <c r="AH973" s="145"/>
      <c r="AI973" s="145"/>
      <c r="AJ973" s="145"/>
      <c r="AK973" s="145"/>
      <c r="AL973" s="145"/>
      <c r="AM973" s="145"/>
      <c r="AN973" s="145"/>
      <c r="AO973" s="145"/>
      <c r="AP973" s="145"/>
      <c r="AQ973" s="145"/>
      <c r="AR973" s="145"/>
      <c r="AS973" s="145"/>
      <c r="AT973" s="146"/>
      <c r="AU973" s="146"/>
      <c r="AV973" s="145"/>
      <c r="AW973" s="145"/>
      <c r="AX973" s="145"/>
      <c r="AY973" s="145"/>
      <c r="AZ973" s="145"/>
      <c r="BA973" s="145"/>
      <c r="BB973" s="145"/>
      <c r="BC973" s="145"/>
      <c r="BD973" s="145"/>
    </row>
    <row r="974" spans="1:56" ht="18.75" customHeight="1" x14ac:dyDescent="0.55000000000000004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  <c r="AC974" s="145"/>
      <c r="AD974" s="145"/>
      <c r="AE974" s="145"/>
      <c r="AF974" s="145"/>
      <c r="AG974" s="145"/>
      <c r="AH974" s="145"/>
      <c r="AI974" s="145"/>
      <c r="AJ974" s="145"/>
      <c r="AK974" s="145"/>
      <c r="AL974" s="145"/>
      <c r="AM974" s="145"/>
      <c r="AN974" s="145"/>
      <c r="AO974" s="145"/>
      <c r="AP974" s="145"/>
      <c r="AQ974" s="145"/>
      <c r="AR974" s="145"/>
      <c r="AS974" s="145"/>
      <c r="AT974" s="146"/>
      <c r="AU974" s="146"/>
      <c r="AV974" s="145"/>
      <c r="AW974" s="145"/>
      <c r="AX974" s="145"/>
      <c r="AY974" s="145"/>
      <c r="AZ974" s="145"/>
      <c r="BA974" s="145"/>
      <c r="BB974" s="145"/>
      <c r="BC974" s="145"/>
      <c r="BD974" s="145"/>
    </row>
    <row r="975" spans="1:56" ht="18.75" customHeight="1" x14ac:dyDescent="0.55000000000000004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  <c r="AC975" s="145"/>
      <c r="AD975" s="145"/>
      <c r="AE975" s="145"/>
      <c r="AF975" s="145"/>
      <c r="AG975" s="145"/>
      <c r="AH975" s="145"/>
      <c r="AI975" s="145"/>
      <c r="AJ975" s="145"/>
      <c r="AK975" s="145"/>
      <c r="AL975" s="145"/>
      <c r="AM975" s="145"/>
      <c r="AN975" s="145"/>
      <c r="AO975" s="145"/>
      <c r="AP975" s="145"/>
      <c r="AQ975" s="145"/>
      <c r="AR975" s="145"/>
      <c r="AS975" s="145"/>
      <c r="AT975" s="146"/>
      <c r="AU975" s="146"/>
      <c r="AV975" s="145"/>
      <c r="AW975" s="145"/>
      <c r="AX975" s="145"/>
      <c r="AY975" s="145"/>
      <c r="AZ975" s="145"/>
      <c r="BA975" s="145"/>
      <c r="BB975" s="145"/>
      <c r="BC975" s="145"/>
      <c r="BD975" s="145"/>
    </row>
    <row r="976" spans="1:56" ht="18.75" customHeight="1" x14ac:dyDescent="0.55000000000000004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  <c r="AC976" s="145"/>
      <c r="AD976" s="145"/>
      <c r="AE976" s="145"/>
      <c r="AF976" s="145"/>
      <c r="AG976" s="145"/>
      <c r="AH976" s="145"/>
      <c r="AI976" s="145"/>
      <c r="AJ976" s="145"/>
      <c r="AK976" s="145"/>
      <c r="AL976" s="145"/>
      <c r="AM976" s="145"/>
      <c r="AN976" s="145"/>
      <c r="AO976" s="145"/>
      <c r="AP976" s="145"/>
      <c r="AQ976" s="145"/>
      <c r="AR976" s="145"/>
      <c r="AS976" s="145"/>
      <c r="AT976" s="146"/>
      <c r="AU976" s="146"/>
      <c r="AV976" s="145"/>
      <c r="AW976" s="145"/>
      <c r="AX976" s="145"/>
      <c r="AY976" s="145"/>
      <c r="AZ976" s="145"/>
      <c r="BA976" s="145"/>
      <c r="BB976" s="145"/>
      <c r="BC976" s="145"/>
      <c r="BD976" s="145"/>
    </row>
    <row r="977" spans="1:56" ht="18.75" customHeight="1" x14ac:dyDescent="0.55000000000000004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  <c r="AC977" s="145"/>
      <c r="AD977" s="145"/>
      <c r="AE977" s="145"/>
      <c r="AF977" s="145"/>
      <c r="AG977" s="145"/>
      <c r="AH977" s="145"/>
      <c r="AI977" s="145"/>
      <c r="AJ977" s="145"/>
      <c r="AK977" s="145"/>
      <c r="AL977" s="145"/>
      <c r="AM977" s="145"/>
      <c r="AN977" s="145"/>
      <c r="AO977" s="145"/>
      <c r="AP977" s="145"/>
      <c r="AQ977" s="145"/>
      <c r="AR977" s="145"/>
      <c r="AS977" s="145"/>
      <c r="AT977" s="146"/>
      <c r="AU977" s="146"/>
      <c r="AV977" s="145"/>
      <c r="AW977" s="145"/>
      <c r="AX977" s="145"/>
      <c r="AY977" s="145"/>
      <c r="AZ977" s="145"/>
      <c r="BA977" s="145"/>
      <c r="BB977" s="145"/>
      <c r="BC977" s="145"/>
      <c r="BD977" s="145"/>
    </row>
    <row r="978" spans="1:56" ht="18.75" customHeight="1" x14ac:dyDescent="0.55000000000000004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  <c r="AC978" s="145"/>
      <c r="AD978" s="145"/>
      <c r="AE978" s="145"/>
      <c r="AF978" s="145"/>
      <c r="AG978" s="145"/>
      <c r="AH978" s="145"/>
      <c r="AI978" s="145"/>
      <c r="AJ978" s="145"/>
      <c r="AK978" s="145"/>
      <c r="AL978" s="145"/>
      <c r="AM978" s="145"/>
      <c r="AN978" s="145"/>
      <c r="AO978" s="145"/>
      <c r="AP978" s="145"/>
      <c r="AQ978" s="145"/>
      <c r="AR978" s="145"/>
      <c r="AS978" s="145"/>
      <c r="AT978" s="146"/>
      <c r="AU978" s="146"/>
      <c r="AV978" s="145"/>
      <c r="AW978" s="145"/>
      <c r="AX978" s="145"/>
      <c r="AY978" s="145"/>
      <c r="AZ978" s="145"/>
      <c r="BA978" s="145"/>
      <c r="BB978" s="145"/>
      <c r="BC978" s="145"/>
      <c r="BD978" s="145"/>
    </row>
    <row r="979" spans="1:56" ht="18.75" customHeight="1" x14ac:dyDescent="0.55000000000000004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  <c r="AC979" s="145"/>
      <c r="AD979" s="145"/>
      <c r="AE979" s="145"/>
      <c r="AF979" s="145"/>
      <c r="AG979" s="145"/>
      <c r="AH979" s="145"/>
      <c r="AI979" s="145"/>
      <c r="AJ979" s="145"/>
      <c r="AK979" s="145"/>
      <c r="AL979" s="145"/>
      <c r="AM979" s="145"/>
      <c r="AN979" s="145"/>
      <c r="AO979" s="145"/>
      <c r="AP979" s="145"/>
      <c r="AQ979" s="145"/>
      <c r="AR979" s="145"/>
      <c r="AS979" s="145"/>
      <c r="AT979" s="146"/>
      <c r="AU979" s="146"/>
      <c r="AV979" s="145"/>
      <c r="AW979" s="145"/>
      <c r="AX979" s="145"/>
      <c r="AY979" s="145"/>
      <c r="AZ979" s="145"/>
      <c r="BA979" s="145"/>
      <c r="BB979" s="145"/>
      <c r="BC979" s="145"/>
      <c r="BD979" s="145"/>
    </row>
    <row r="980" spans="1:56" ht="18.75" customHeight="1" x14ac:dyDescent="0.55000000000000004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  <c r="AC980" s="145"/>
      <c r="AD980" s="145"/>
      <c r="AE980" s="145"/>
      <c r="AF980" s="145"/>
      <c r="AG980" s="145"/>
      <c r="AH980" s="145"/>
      <c r="AI980" s="145"/>
      <c r="AJ980" s="145"/>
      <c r="AK980" s="145"/>
      <c r="AL980" s="145"/>
      <c r="AM980" s="145"/>
      <c r="AN980" s="145"/>
      <c r="AO980" s="145"/>
      <c r="AP980" s="145"/>
      <c r="AQ980" s="145"/>
      <c r="AR980" s="145"/>
      <c r="AS980" s="145"/>
      <c r="AT980" s="146"/>
      <c r="AU980" s="146"/>
      <c r="AV980" s="145"/>
      <c r="AW980" s="145"/>
      <c r="AX980" s="145"/>
      <c r="AY980" s="145"/>
      <c r="AZ980" s="145"/>
      <c r="BA980" s="145"/>
      <c r="BB980" s="145"/>
      <c r="BC980" s="145"/>
      <c r="BD980" s="145"/>
    </row>
    <row r="981" spans="1:56" ht="18.75" customHeight="1" x14ac:dyDescent="0.55000000000000004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  <c r="AC981" s="145"/>
      <c r="AD981" s="145"/>
      <c r="AE981" s="145"/>
      <c r="AF981" s="145"/>
      <c r="AG981" s="145"/>
      <c r="AH981" s="145"/>
      <c r="AI981" s="145"/>
      <c r="AJ981" s="145"/>
      <c r="AK981" s="145"/>
      <c r="AL981" s="145"/>
      <c r="AM981" s="145"/>
      <c r="AN981" s="145"/>
      <c r="AO981" s="145"/>
      <c r="AP981" s="145"/>
      <c r="AQ981" s="145"/>
      <c r="AR981" s="145"/>
      <c r="AS981" s="145"/>
      <c r="AT981" s="146"/>
      <c r="AU981" s="146"/>
      <c r="AV981" s="145"/>
      <c r="AW981" s="145"/>
      <c r="AX981" s="145"/>
      <c r="AY981" s="145"/>
      <c r="AZ981" s="145"/>
      <c r="BA981" s="145"/>
      <c r="BB981" s="145"/>
      <c r="BC981" s="145"/>
      <c r="BD981" s="145"/>
    </row>
    <row r="982" spans="1:56" ht="18.75" customHeight="1" x14ac:dyDescent="0.55000000000000004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  <c r="AC982" s="145"/>
      <c r="AD982" s="145"/>
      <c r="AE982" s="145"/>
      <c r="AF982" s="145"/>
      <c r="AG982" s="145"/>
      <c r="AH982" s="145"/>
      <c r="AI982" s="145"/>
      <c r="AJ982" s="145"/>
      <c r="AK982" s="145"/>
      <c r="AL982" s="145"/>
      <c r="AM982" s="145"/>
      <c r="AN982" s="145"/>
      <c r="AO982" s="145"/>
      <c r="AP982" s="145"/>
      <c r="AQ982" s="145"/>
      <c r="AR982" s="145"/>
      <c r="AS982" s="145"/>
      <c r="AT982" s="146"/>
      <c r="AU982" s="146"/>
      <c r="AV982" s="145"/>
      <c r="AW982" s="145"/>
      <c r="AX982" s="145"/>
      <c r="AY982" s="145"/>
      <c r="AZ982" s="145"/>
      <c r="BA982" s="145"/>
      <c r="BB982" s="145"/>
      <c r="BC982" s="145"/>
      <c r="BD982" s="145"/>
    </row>
    <row r="983" spans="1:56" ht="18.75" customHeight="1" x14ac:dyDescent="0.55000000000000004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  <c r="AC983" s="145"/>
      <c r="AD983" s="145"/>
      <c r="AE983" s="145"/>
      <c r="AF983" s="145"/>
      <c r="AG983" s="145"/>
      <c r="AH983" s="145"/>
      <c r="AI983" s="145"/>
      <c r="AJ983" s="145"/>
      <c r="AK983" s="145"/>
      <c r="AL983" s="145"/>
      <c r="AM983" s="145"/>
      <c r="AN983" s="145"/>
      <c r="AO983" s="145"/>
      <c r="AP983" s="145"/>
      <c r="AQ983" s="145"/>
      <c r="AR983" s="145"/>
      <c r="AS983" s="145"/>
      <c r="AT983" s="146"/>
      <c r="AU983" s="146"/>
      <c r="AV983" s="145"/>
      <c r="AW983" s="145"/>
      <c r="AX983" s="145"/>
      <c r="AY983" s="145"/>
      <c r="AZ983" s="145"/>
      <c r="BA983" s="145"/>
      <c r="BB983" s="145"/>
      <c r="BC983" s="145"/>
      <c r="BD983" s="145"/>
    </row>
    <row r="984" spans="1:56" ht="18.75" customHeight="1" x14ac:dyDescent="0.55000000000000004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  <c r="AC984" s="145"/>
      <c r="AD984" s="145"/>
      <c r="AE984" s="145"/>
      <c r="AF984" s="145"/>
      <c r="AG984" s="145"/>
      <c r="AH984" s="145"/>
      <c r="AI984" s="145"/>
      <c r="AJ984" s="145"/>
      <c r="AK984" s="145"/>
      <c r="AL984" s="145"/>
      <c r="AM984" s="145"/>
      <c r="AN984" s="145"/>
      <c r="AO984" s="145"/>
      <c r="AP984" s="145"/>
      <c r="AQ984" s="145"/>
      <c r="AR984" s="145"/>
      <c r="AS984" s="145"/>
      <c r="AT984" s="146"/>
      <c r="AU984" s="146"/>
      <c r="AV984" s="145"/>
      <c r="AW984" s="145"/>
      <c r="AX984" s="145"/>
      <c r="AY984" s="145"/>
      <c r="AZ984" s="145"/>
      <c r="BA984" s="145"/>
      <c r="BB984" s="145"/>
      <c r="BC984" s="145"/>
      <c r="BD984" s="145"/>
    </row>
    <row r="985" spans="1:56" ht="18.75" customHeight="1" x14ac:dyDescent="0.55000000000000004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  <c r="AC985" s="145"/>
      <c r="AD985" s="145"/>
      <c r="AE985" s="145"/>
      <c r="AF985" s="145"/>
      <c r="AG985" s="145"/>
      <c r="AH985" s="145"/>
      <c r="AI985" s="145"/>
      <c r="AJ985" s="145"/>
      <c r="AK985" s="145"/>
      <c r="AL985" s="145"/>
      <c r="AM985" s="145"/>
      <c r="AN985" s="145"/>
      <c r="AO985" s="145"/>
      <c r="AP985" s="145"/>
      <c r="AQ985" s="145"/>
      <c r="AR985" s="145"/>
      <c r="AS985" s="145"/>
      <c r="AT985" s="146"/>
      <c r="AU985" s="146"/>
      <c r="AV985" s="145"/>
      <c r="AW985" s="145"/>
      <c r="AX985" s="145"/>
      <c r="AY985" s="145"/>
      <c r="AZ985" s="145"/>
      <c r="BA985" s="145"/>
      <c r="BB985" s="145"/>
      <c r="BC985" s="145"/>
      <c r="BD985" s="145"/>
    </row>
    <row r="986" spans="1:56" ht="18.75" customHeight="1" x14ac:dyDescent="0.55000000000000004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  <c r="AC986" s="145"/>
      <c r="AD986" s="145"/>
      <c r="AE986" s="145"/>
      <c r="AF986" s="145"/>
      <c r="AG986" s="145"/>
      <c r="AH986" s="145"/>
      <c r="AI986" s="145"/>
      <c r="AJ986" s="145"/>
      <c r="AK986" s="145"/>
      <c r="AL986" s="145"/>
      <c r="AM986" s="145"/>
      <c r="AN986" s="145"/>
      <c r="AO986" s="145"/>
      <c r="AP986" s="145"/>
      <c r="AQ986" s="145"/>
      <c r="AR986" s="145"/>
      <c r="AS986" s="145"/>
      <c r="AT986" s="146"/>
      <c r="AU986" s="146"/>
      <c r="AV986" s="145"/>
      <c r="AW986" s="145"/>
      <c r="AX986" s="145"/>
      <c r="AY986" s="145"/>
      <c r="AZ986" s="145"/>
      <c r="BA986" s="145"/>
      <c r="BB986" s="145"/>
      <c r="BC986" s="145"/>
      <c r="BD986" s="145"/>
    </row>
    <row r="987" spans="1:56" ht="18.75" customHeight="1" x14ac:dyDescent="0.55000000000000004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  <c r="AB987" s="145"/>
      <c r="AC987" s="145"/>
      <c r="AD987" s="145"/>
      <c r="AE987" s="145"/>
      <c r="AF987" s="145"/>
      <c r="AG987" s="145"/>
      <c r="AH987" s="145"/>
      <c r="AI987" s="145"/>
      <c r="AJ987" s="145"/>
      <c r="AK987" s="145"/>
      <c r="AL987" s="145"/>
      <c r="AM987" s="145"/>
      <c r="AN987" s="145"/>
      <c r="AO987" s="145"/>
      <c r="AP987" s="145"/>
      <c r="AQ987" s="145"/>
      <c r="AR987" s="145"/>
      <c r="AS987" s="145"/>
      <c r="AT987" s="146"/>
      <c r="AU987" s="146"/>
      <c r="AV987" s="145"/>
      <c r="AW987" s="145"/>
      <c r="AX987" s="145"/>
      <c r="AY987" s="145"/>
      <c r="AZ987" s="145"/>
      <c r="BA987" s="145"/>
      <c r="BB987" s="145"/>
      <c r="BC987" s="145"/>
      <c r="BD987" s="145"/>
    </row>
    <row r="988" spans="1:56" ht="18.75" customHeight="1" x14ac:dyDescent="0.55000000000000004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  <c r="AC988" s="145"/>
      <c r="AD988" s="145"/>
      <c r="AE988" s="145"/>
      <c r="AF988" s="145"/>
      <c r="AG988" s="145"/>
      <c r="AH988" s="145"/>
      <c r="AI988" s="145"/>
      <c r="AJ988" s="145"/>
      <c r="AK988" s="145"/>
      <c r="AL988" s="145"/>
      <c r="AM988" s="145"/>
      <c r="AN988" s="145"/>
      <c r="AO988" s="145"/>
      <c r="AP988" s="145"/>
      <c r="AQ988" s="145"/>
      <c r="AR988" s="145"/>
      <c r="AS988" s="145"/>
      <c r="AT988" s="146"/>
      <c r="AU988" s="146"/>
      <c r="AV988" s="145"/>
      <c r="AW988" s="145"/>
      <c r="AX988" s="145"/>
      <c r="AY988" s="145"/>
      <c r="AZ988" s="145"/>
      <c r="BA988" s="145"/>
      <c r="BB988" s="145"/>
      <c r="BC988" s="145"/>
      <c r="BD988" s="145"/>
    </row>
    <row r="989" spans="1:56" ht="18.75" customHeight="1" x14ac:dyDescent="0.55000000000000004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  <c r="AB989" s="145"/>
      <c r="AC989" s="145"/>
      <c r="AD989" s="145"/>
      <c r="AE989" s="145"/>
      <c r="AF989" s="145"/>
      <c r="AG989" s="145"/>
      <c r="AH989" s="145"/>
      <c r="AI989" s="145"/>
      <c r="AJ989" s="145"/>
      <c r="AK989" s="145"/>
      <c r="AL989" s="145"/>
      <c r="AM989" s="145"/>
      <c r="AN989" s="145"/>
      <c r="AO989" s="145"/>
      <c r="AP989" s="145"/>
      <c r="AQ989" s="145"/>
      <c r="AR989" s="145"/>
      <c r="AS989" s="145"/>
      <c r="AT989" s="146"/>
      <c r="AU989" s="146"/>
      <c r="AV989" s="145"/>
      <c r="AW989" s="145"/>
      <c r="AX989" s="145"/>
      <c r="AY989" s="145"/>
      <c r="AZ989" s="145"/>
      <c r="BA989" s="145"/>
      <c r="BB989" s="145"/>
      <c r="BC989" s="145"/>
      <c r="BD989" s="145"/>
    </row>
    <row r="990" spans="1:56" ht="18.75" customHeight="1" x14ac:dyDescent="0.55000000000000004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  <c r="AB990" s="145"/>
      <c r="AC990" s="145"/>
      <c r="AD990" s="145"/>
      <c r="AE990" s="145"/>
      <c r="AF990" s="145"/>
      <c r="AG990" s="145"/>
      <c r="AH990" s="145"/>
      <c r="AI990" s="145"/>
      <c r="AJ990" s="145"/>
      <c r="AK990" s="145"/>
      <c r="AL990" s="145"/>
      <c r="AM990" s="145"/>
      <c r="AN990" s="145"/>
      <c r="AO990" s="145"/>
      <c r="AP990" s="145"/>
      <c r="AQ990" s="145"/>
      <c r="AR990" s="145"/>
      <c r="AS990" s="145"/>
      <c r="AT990" s="146"/>
      <c r="AU990" s="146"/>
      <c r="AV990" s="145"/>
      <c r="AW990" s="145"/>
      <c r="AX990" s="145"/>
      <c r="AY990" s="145"/>
      <c r="AZ990" s="145"/>
      <c r="BA990" s="145"/>
      <c r="BB990" s="145"/>
      <c r="BC990" s="145"/>
      <c r="BD990" s="145"/>
    </row>
    <row r="991" spans="1:56" ht="18.75" customHeight="1" x14ac:dyDescent="0.55000000000000004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  <c r="AB991" s="145"/>
      <c r="AC991" s="145"/>
      <c r="AD991" s="145"/>
      <c r="AE991" s="145"/>
      <c r="AF991" s="145"/>
      <c r="AG991" s="145"/>
      <c r="AH991" s="145"/>
      <c r="AI991" s="145"/>
      <c r="AJ991" s="145"/>
      <c r="AK991" s="145"/>
      <c r="AL991" s="145"/>
      <c r="AM991" s="145"/>
      <c r="AN991" s="145"/>
      <c r="AO991" s="145"/>
      <c r="AP991" s="145"/>
      <c r="AQ991" s="145"/>
      <c r="AR991" s="145"/>
      <c r="AS991" s="145"/>
      <c r="AT991" s="146"/>
      <c r="AU991" s="146"/>
      <c r="AV991" s="145"/>
      <c r="AW991" s="145"/>
      <c r="AX991" s="145"/>
      <c r="AY991" s="145"/>
      <c r="AZ991" s="145"/>
      <c r="BA991" s="145"/>
      <c r="BB991" s="145"/>
      <c r="BC991" s="145"/>
      <c r="BD991" s="145"/>
    </row>
    <row r="992" spans="1:56" ht="18.75" customHeight="1" x14ac:dyDescent="0.55000000000000004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  <c r="AB992" s="145"/>
      <c r="AC992" s="145"/>
      <c r="AD992" s="145"/>
      <c r="AE992" s="145"/>
      <c r="AF992" s="145"/>
      <c r="AG992" s="145"/>
      <c r="AH992" s="145"/>
      <c r="AI992" s="145"/>
      <c r="AJ992" s="145"/>
      <c r="AK992" s="145"/>
      <c r="AL992" s="145"/>
      <c r="AM992" s="145"/>
      <c r="AN992" s="145"/>
      <c r="AO992" s="145"/>
      <c r="AP992" s="145"/>
      <c r="AQ992" s="145"/>
      <c r="AR992" s="145"/>
      <c r="AS992" s="145"/>
      <c r="AT992" s="146"/>
      <c r="AU992" s="146"/>
      <c r="AV992" s="145"/>
      <c r="AW992" s="145"/>
      <c r="AX992" s="145"/>
      <c r="AY992" s="145"/>
      <c r="AZ992" s="145"/>
      <c r="BA992" s="145"/>
      <c r="BB992" s="145"/>
      <c r="BC992" s="145"/>
      <c r="BD992" s="145"/>
    </row>
    <row r="993" spans="1:56" ht="18.75" customHeight="1" x14ac:dyDescent="0.55000000000000004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  <c r="AB993" s="145"/>
      <c r="AC993" s="145"/>
      <c r="AD993" s="145"/>
      <c r="AE993" s="145"/>
      <c r="AF993" s="145"/>
      <c r="AG993" s="145"/>
      <c r="AH993" s="145"/>
      <c r="AI993" s="145"/>
      <c r="AJ993" s="145"/>
      <c r="AK993" s="145"/>
      <c r="AL993" s="145"/>
      <c r="AM993" s="145"/>
      <c r="AN993" s="145"/>
      <c r="AO993" s="145"/>
      <c r="AP993" s="145"/>
      <c r="AQ993" s="145"/>
      <c r="AR993" s="145"/>
      <c r="AS993" s="145"/>
      <c r="AT993" s="146"/>
      <c r="AU993" s="146"/>
      <c r="AV993" s="145"/>
      <c r="AW993" s="145"/>
      <c r="AX993" s="145"/>
      <c r="AY993" s="145"/>
      <c r="AZ993" s="145"/>
      <c r="BA993" s="145"/>
      <c r="BB993" s="145"/>
      <c r="BC993" s="145"/>
      <c r="BD993" s="145"/>
    </row>
    <row r="994" spans="1:56" ht="18.75" customHeight="1" x14ac:dyDescent="0.55000000000000004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  <c r="AB994" s="145"/>
      <c r="AC994" s="145"/>
      <c r="AD994" s="145"/>
      <c r="AE994" s="145"/>
      <c r="AF994" s="145"/>
      <c r="AG994" s="145"/>
      <c r="AH994" s="145"/>
      <c r="AI994" s="145"/>
      <c r="AJ994" s="145"/>
      <c r="AK994" s="145"/>
      <c r="AL994" s="145"/>
      <c r="AM994" s="145"/>
      <c r="AN994" s="145"/>
      <c r="AO994" s="145"/>
      <c r="AP994" s="145"/>
      <c r="AQ994" s="145"/>
      <c r="AR994" s="145"/>
      <c r="AS994" s="145"/>
      <c r="AT994" s="146"/>
      <c r="AU994" s="146"/>
      <c r="AV994" s="145"/>
      <c r="AW994" s="145"/>
      <c r="AX994" s="145"/>
      <c r="AY994" s="145"/>
      <c r="AZ994" s="145"/>
      <c r="BA994" s="145"/>
      <c r="BB994" s="145"/>
      <c r="BC994" s="145"/>
      <c r="BD994" s="145"/>
    </row>
    <row r="995" spans="1:56" ht="18.75" customHeight="1" x14ac:dyDescent="0.55000000000000004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  <c r="AB995" s="145"/>
      <c r="AC995" s="145"/>
      <c r="AD995" s="145"/>
      <c r="AE995" s="145"/>
      <c r="AF995" s="145"/>
      <c r="AG995" s="145"/>
      <c r="AH995" s="145"/>
      <c r="AI995" s="145"/>
      <c r="AJ995" s="145"/>
      <c r="AK995" s="145"/>
      <c r="AL995" s="145"/>
      <c r="AM995" s="145"/>
      <c r="AN995" s="145"/>
      <c r="AO995" s="145"/>
      <c r="AP995" s="145"/>
      <c r="AQ995" s="145"/>
      <c r="AR995" s="145"/>
      <c r="AS995" s="145"/>
      <c r="AT995" s="146"/>
      <c r="AU995" s="146"/>
      <c r="AV995" s="145"/>
      <c r="AW995" s="145"/>
      <c r="AX995" s="145"/>
      <c r="AY995" s="145"/>
      <c r="AZ995" s="145"/>
      <c r="BA995" s="145"/>
      <c r="BB995" s="145"/>
      <c r="BC995" s="145"/>
      <c r="BD995" s="145"/>
    </row>
    <row r="996" spans="1:56" ht="18.75" customHeight="1" x14ac:dyDescent="0.55000000000000004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  <c r="AB996" s="145"/>
      <c r="AC996" s="145"/>
      <c r="AD996" s="145"/>
      <c r="AE996" s="145"/>
      <c r="AF996" s="145"/>
      <c r="AG996" s="145"/>
      <c r="AH996" s="145"/>
      <c r="AI996" s="145"/>
      <c r="AJ996" s="145"/>
      <c r="AK996" s="145"/>
      <c r="AL996" s="145"/>
      <c r="AM996" s="145"/>
      <c r="AN996" s="145"/>
      <c r="AO996" s="145"/>
      <c r="AP996" s="145"/>
      <c r="AQ996" s="145"/>
      <c r="AR996" s="145"/>
      <c r="AS996" s="145"/>
      <c r="AT996" s="146"/>
      <c r="AU996" s="146"/>
      <c r="AV996" s="145"/>
      <c r="AW996" s="145"/>
      <c r="AX996" s="145"/>
      <c r="AY996" s="145"/>
      <c r="AZ996" s="145"/>
      <c r="BA996" s="145"/>
      <c r="BB996" s="145"/>
      <c r="BC996" s="145"/>
      <c r="BD996" s="145"/>
    </row>
    <row r="997" spans="1:56" ht="18.75" customHeight="1" x14ac:dyDescent="0.55000000000000004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  <c r="AB997" s="145"/>
      <c r="AC997" s="145"/>
      <c r="AD997" s="145"/>
      <c r="AE997" s="145"/>
      <c r="AF997" s="145"/>
      <c r="AG997" s="145"/>
      <c r="AH997" s="145"/>
      <c r="AI997" s="145"/>
      <c r="AJ997" s="145"/>
      <c r="AK997" s="145"/>
      <c r="AL997" s="145"/>
      <c r="AM997" s="145"/>
      <c r="AN997" s="145"/>
      <c r="AO997" s="145"/>
      <c r="AP997" s="145"/>
      <c r="AQ997" s="145"/>
      <c r="AR997" s="145"/>
      <c r="AS997" s="145"/>
      <c r="AT997" s="146"/>
      <c r="AU997" s="146"/>
      <c r="AV997" s="145"/>
      <c r="AW997" s="145"/>
      <c r="AX997" s="145"/>
      <c r="AY997" s="145"/>
      <c r="AZ997" s="145"/>
      <c r="BA997" s="145"/>
      <c r="BB997" s="145"/>
      <c r="BC997" s="145"/>
      <c r="BD997" s="145"/>
    </row>
    <row r="998" spans="1:56" ht="18.75" customHeight="1" x14ac:dyDescent="0.55000000000000004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  <c r="AB998" s="145"/>
      <c r="AC998" s="145"/>
      <c r="AD998" s="145"/>
      <c r="AE998" s="145"/>
      <c r="AF998" s="145"/>
      <c r="AG998" s="145"/>
      <c r="AH998" s="145"/>
      <c r="AI998" s="145"/>
      <c r="AJ998" s="145"/>
      <c r="AK998" s="145"/>
      <c r="AL998" s="145"/>
      <c r="AM998" s="145"/>
      <c r="AN998" s="145"/>
      <c r="AO998" s="145"/>
      <c r="AP998" s="145"/>
      <c r="AQ998" s="145"/>
      <c r="AR998" s="145"/>
      <c r="AS998" s="145"/>
      <c r="AT998" s="146"/>
      <c r="AU998" s="146"/>
      <c r="AV998" s="145"/>
      <c r="AW998" s="145"/>
      <c r="AX998" s="145"/>
      <c r="AY998" s="145"/>
      <c r="AZ998" s="145"/>
      <c r="BA998" s="145"/>
      <c r="BB998" s="145"/>
      <c r="BC998" s="145"/>
      <c r="BD998" s="145"/>
    </row>
    <row r="999" spans="1:56" ht="18.75" customHeight="1" x14ac:dyDescent="0.55000000000000004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  <c r="AB999" s="145"/>
      <c r="AC999" s="145"/>
      <c r="AD999" s="145"/>
      <c r="AE999" s="145"/>
      <c r="AF999" s="145"/>
      <c r="AG999" s="145"/>
      <c r="AH999" s="145"/>
      <c r="AI999" s="145"/>
      <c r="AJ999" s="145"/>
      <c r="AK999" s="145"/>
      <c r="AL999" s="145"/>
      <c r="AM999" s="145"/>
      <c r="AN999" s="145"/>
      <c r="AO999" s="145"/>
      <c r="AP999" s="145"/>
      <c r="AQ999" s="145"/>
      <c r="AR999" s="145"/>
      <c r="AS999" s="145"/>
      <c r="AT999" s="146"/>
      <c r="AU999" s="146"/>
      <c r="AV999" s="145"/>
      <c r="AW999" s="145"/>
      <c r="AX999" s="145"/>
      <c r="AY999" s="145"/>
      <c r="AZ999" s="145"/>
      <c r="BA999" s="145"/>
      <c r="BB999" s="145"/>
      <c r="BC999" s="145"/>
      <c r="BD999" s="145"/>
    </row>
    <row r="1000" spans="1:56" ht="18.75" customHeight="1" x14ac:dyDescent="0.55000000000000004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  <c r="AB1000" s="145"/>
      <c r="AC1000" s="145"/>
      <c r="AD1000" s="145"/>
      <c r="AE1000" s="145"/>
      <c r="AF1000" s="145"/>
      <c r="AG1000" s="145"/>
      <c r="AH1000" s="145"/>
      <c r="AI1000" s="145"/>
      <c r="AJ1000" s="145"/>
      <c r="AK1000" s="145"/>
      <c r="AL1000" s="145"/>
      <c r="AM1000" s="145"/>
      <c r="AN1000" s="145"/>
      <c r="AO1000" s="145"/>
      <c r="AP1000" s="145"/>
      <c r="AQ1000" s="145"/>
      <c r="AR1000" s="145"/>
      <c r="AS1000" s="145"/>
      <c r="AT1000" s="146"/>
      <c r="AU1000" s="146"/>
      <c r="AV1000" s="145"/>
      <c r="AW1000" s="145"/>
      <c r="AX1000" s="145"/>
      <c r="AY1000" s="145"/>
      <c r="AZ1000" s="145"/>
      <c r="BA1000" s="145"/>
      <c r="BB1000" s="145"/>
      <c r="BC1000" s="145"/>
      <c r="BD1000" s="145"/>
    </row>
    <row r="1001" spans="1:56" ht="18.75" customHeight="1" x14ac:dyDescent="0.55000000000000004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  <c r="AB1001" s="145"/>
      <c r="AC1001" s="145"/>
      <c r="AD1001" s="145"/>
      <c r="AE1001" s="145"/>
      <c r="AF1001" s="145"/>
      <c r="AG1001" s="145"/>
      <c r="AH1001" s="145"/>
      <c r="AI1001" s="145"/>
      <c r="AJ1001" s="145"/>
      <c r="AK1001" s="145"/>
      <c r="AL1001" s="145"/>
      <c r="AM1001" s="145"/>
      <c r="AN1001" s="145"/>
      <c r="AO1001" s="145"/>
      <c r="AP1001" s="145"/>
      <c r="AQ1001" s="145"/>
      <c r="AR1001" s="145"/>
      <c r="AS1001" s="145"/>
      <c r="AT1001" s="146"/>
      <c r="AU1001" s="146"/>
      <c r="AV1001" s="145"/>
      <c r="AW1001" s="145"/>
      <c r="AX1001" s="145"/>
      <c r="AY1001" s="145"/>
      <c r="AZ1001" s="145"/>
      <c r="BA1001" s="145"/>
      <c r="BB1001" s="145"/>
      <c r="BC1001" s="145"/>
      <c r="BD1001" s="145"/>
    </row>
    <row r="1002" spans="1:56" ht="18.75" customHeight="1" x14ac:dyDescent="0.55000000000000004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  <c r="AB1002" s="145"/>
      <c r="AC1002" s="145"/>
      <c r="AD1002" s="145"/>
      <c r="AE1002" s="145"/>
      <c r="AF1002" s="145"/>
      <c r="AG1002" s="145"/>
      <c r="AH1002" s="145"/>
      <c r="AI1002" s="145"/>
      <c r="AJ1002" s="145"/>
      <c r="AK1002" s="145"/>
      <c r="AL1002" s="145"/>
      <c r="AM1002" s="145"/>
      <c r="AN1002" s="145"/>
      <c r="AO1002" s="145"/>
      <c r="AP1002" s="145"/>
      <c r="AQ1002" s="145"/>
      <c r="AR1002" s="145"/>
      <c r="AS1002" s="145"/>
      <c r="AT1002" s="146"/>
      <c r="AU1002" s="146"/>
      <c r="AV1002" s="145"/>
      <c r="AW1002" s="145"/>
      <c r="AX1002" s="145"/>
      <c r="AY1002" s="145"/>
      <c r="AZ1002" s="145"/>
      <c r="BA1002" s="145"/>
      <c r="BB1002" s="145"/>
      <c r="BC1002" s="145"/>
      <c r="BD1002" s="145"/>
    </row>
    <row r="1003" spans="1:56" ht="18.75" customHeight="1" x14ac:dyDescent="0.55000000000000004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  <c r="AB1003" s="145"/>
      <c r="AC1003" s="145"/>
      <c r="AD1003" s="145"/>
      <c r="AE1003" s="145"/>
      <c r="AF1003" s="145"/>
      <c r="AG1003" s="145"/>
      <c r="AH1003" s="145"/>
      <c r="AI1003" s="145"/>
      <c r="AJ1003" s="145"/>
      <c r="AK1003" s="145"/>
      <c r="AL1003" s="145"/>
      <c r="AM1003" s="145"/>
      <c r="AN1003" s="145"/>
      <c r="AO1003" s="145"/>
      <c r="AP1003" s="145"/>
      <c r="AQ1003" s="145"/>
      <c r="AR1003" s="145"/>
      <c r="AS1003" s="145"/>
      <c r="AT1003" s="146"/>
      <c r="AU1003" s="146"/>
      <c r="AV1003" s="145"/>
      <c r="AW1003" s="145"/>
      <c r="AX1003" s="145"/>
      <c r="AY1003" s="145"/>
      <c r="AZ1003" s="145"/>
      <c r="BA1003" s="145"/>
      <c r="BB1003" s="145"/>
      <c r="BC1003" s="145"/>
      <c r="BD1003" s="145"/>
    </row>
    <row r="1004" spans="1:56" ht="18.75" customHeight="1" x14ac:dyDescent="0.55000000000000004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  <c r="AB1004" s="145"/>
      <c r="AC1004" s="145"/>
      <c r="AD1004" s="145"/>
      <c r="AE1004" s="145"/>
      <c r="AF1004" s="145"/>
      <c r="AG1004" s="145"/>
      <c r="AH1004" s="145"/>
      <c r="AI1004" s="145"/>
      <c r="AJ1004" s="145"/>
      <c r="AK1004" s="145"/>
      <c r="AL1004" s="145"/>
      <c r="AM1004" s="145"/>
      <c r="AN1004" s="145"/>
      <c r="AO1004" s="145"/>
      <c r="AP1004" s="145"/>
      <c r="AQ1004" s="145"/>
      <c r="AR1004" s="145"/>
      <c r="AS1004" s="145"/>
      <c r="AT1004" s="146"/>
      <c r="AU1004" s="146"/>
      <c r="AV1004" s="145"/>
      <c r="AW1004" s="145"/>
      <c r="AX1004" s="145"/>
      <c r="AY1004" s="145"/>
      <c r="AZ1004" s="145"/>
      <c r="BA1004" s="145"/>
      <c r="BB1004" s="145"/>
      <c r="BC1004" s="145"/>
      <c r="BD1004" s="145"/>
    </row>
    <row r="1005" spans="1:56" ht="18.75" customHeight="1" x14ac:dyDescent="0.55000000000000004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  <c r="AB1005" s="145"/>
      <c r="AC1005" s="145"/>
      <c r="AD1005" s="145"/>
      <c r="AE1005" s="145"/>
      <c r="AF1005" s="145"/>
      <c r="AG1005" s="145"/>
      <c r="AH1005" s="145"/>
      <c r="AI1005" s="145"/>
      <c r="AJ1005" s="145"/>
      <c r="AK1005" s="145"/>
      <c r="AL1005" s="145"/>
      <c r="AM1005" s="145"/>
      <c r="AN1005" s="145"/>
      <c r="AO1005" s="145"/>
      <c r="AP1005" s="145"/>
      <c r="AQ1005" s="145"/>
      <c r="AR1005" s="145"/>
      <c r="AS1005" s="145"/>
      <c r="AT1005" s="146"/>
      <c r="AU1005" s="146"/>
      <c r="AV1005" s="145"/>
      <c r="AW1005" s="145"/>
      <c r="AX1005" s="145"/>
      <c r="AY1005" s="145"/>
      <c r="AZ1005" s="145"/>
      <c r="BA1005" s="145"/>
      <c r="BB1005" s="145"/>
      <c r="BC1005" s="145"/>
      <c r="BD1005" s="145"/>
    </row>
    <row r="1006" spans="1:56" ht="18.75" customHeight="1" x14ac:dyDescent="0.55000000000000004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  <c r="AB1006" s="145"/>
      <c r="AC1006" s="145"/>
      <c r="AD1006" s="145"/>
      <c r="AE1006" s="145"/>
      <c r="AF1006" s="145"/>
      <c r="AG1006" s="145"/>
      <c r="AH1006" s="145"/>
      <c r="AI1006" s="145"/>
      <c r="AJ1006" s="145"/>
      <c r="AK1006" s="145"/>
      <c r="AL1006" s="145"/>
      <c r="AM1006" s="145"/>
      <c r="AN1006" s="145"/>
      <c r="AO1006" s="145"/>
      <c r="AP1006" s="145"/>
      <c r="AQ1006" s="145"/>
      <c r="AR1006" s="145"/>
      <c r="AS1006" s="145"/>
      <c r="AT1006" s="146"/>
      <c r="AU1006" s="146"/>
      <c r="AV1006" s="145"/>
      <c r="AW1006" s="145"/>
      <c r="AX1006" s="145"/>
      <c r="AY1006" s="145"/>
      <c r="AZ1006" s="145"/>
      <c r="BA1006" s="145"/>
      <c r="BB1006" s="145"/>
      <c r="BC1006" s="145"/>
      <c r="BD1006" s="145"/>
    </row>
    <row r="1007" spans="1:56" ht="18.75" customHeight="1" x14ac:dyDescent="0.55000000000000004">
      <c r="A1007" s="145"/>
      <c r="B1007" s="145"/>
      <c r="C1007" s="145"/>
      <c r="D1007" s="145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  <c r="AA1007" s="145"/>
      <c r="AB1007" s="145"/>
      <c r="AC1007" s="145"/>
      <c r="AD1007" s="145"/>
      <c r="AE1007" s="145"/>
      <c r="AF1007" s="145"/>
      <c r="AG1007" s="145"/>
      <c r="AH1007" s="145"/>
      <c r="AI1007" s="145"/>
      <c r="AJ1007" s="145"/>
      <c r="AK1007" s="145"/>
      <c r="AL1007" s="145"/>
      <c r="AM1007" s="145"/>
      <c r="AN1007" s="145"/>
      <c r="AO1007" s="145"/>
      <c r="AP1007" s="145"/>
      <c r="AQ1007" s="145"/>
      <c r="AR1007" s="145"/>
      <c r="AS1007" s="145"/>
      <c r="AT1007" s="146"/>
      <c r="AU1007" s="146"/>
      <c r="AV1007" s="145"/>
      <c r="AW1007" s="145"/>
      <c r="AX1007" s="145"/>
      <c r="AY1007" s="145"/>
      <c r="AZ1007" s="145"/>
      <c r="BA1007" s="145"/>
      <c r="BB1007" s="145"/>
      <c r="BC1007" s="145"/>
      <c r="BD1007" s="145"/>
    </row>
    <row r="1008" spans="1:56" ht="18.75" customHeight="1" x14ac:dyDescent="0.55000000000000004">
      <c r="A1008" s="145"/>
      <c r="B1008" s="145"/>
      <c r="C1008" s="145"/>
      <c r="D1008" s="145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  <c r="W1008" s="145"/>
      <c r="X1008" s="145"/>
      <c r="Y1008" s="145"/>
      <c r="Z1008" s="145"/>
      <c r="AA1008" s="145"/>
      <c r="AB1008" s="145"/>
      <c r="AC1008" s="145"/>
      <c r="AD1008" s="145"/>
      <c r="AE1008" s="145"/>
      <c r="AF1008" s="145"/>
      <c r="AG1008" s="145"/>
      <c r="AH1008" s="145"/>
      <c r="AI1008" s="145"/>
      <c r="AJ1008" s="145"/>
      <c r="AK1008" s="145"/>
      <c r="AL1008" s="145"/>
      <c r="AM1008" s="145"/>
      <c r="AN1008" s="145"/>
      <c r="AO1008" s="145"/>
      <c r="AP1008" s="145"/>
      <c r="AQ1008" s="145"/>
      <c r="AR1008" s="145"/>
      <c r="AS1008" s="145"/>
      <c r="AT1008" s="146"/>
      <c r="AU1008" s="146"/>
      <c r="AV1008" s="145"/>
      <c r="AW1008" s="145"/>
      <c r="AX1008" s="145"/>
      <c r="AY1008" s="145"/>
      <c r="AZ1008" s="145"/>
      <c r="BA1008" s="145"/>
      <c r="BB1008" s="145"/>
      <c r="BC1008" s="145"/>
      <c r="BD1008" s="145"/>
    </row>
    <row r="1009" spans="1:56" ht="18.75" customHeight="1" x14ac:dyDescent="0.55000000000000004">
      <c r="A1009" s="145"/>
      <c r="B1009" s="145"/>
      <c r="C1009" s="145"/>
      <c r="D1009" s="145"/>
      <c r="E1009" s="145"/>
      <c r="F1009" s="145"/>
      <c r="G1009" s="145"/>
      <c r="H1009" s="145"/>
      <c r="I1009" s="145"/>
      <c r="J1009" s="145"/>
      <c r="K1009" s="145"/>
      <c r="L1009" s="145"/>
      <c r="M1009" s="145"/>
      <c r="N1009" s="145"/>
      <c r="O1009" s="145"/>
      <c r="P1009" s="145"/>
      <c r="Q1009" s="145"/>
      <c r="R1009" s="145"/>
      <c r="S1009" s="145"/>
      <c r="T1009" s="145"/>
      <c r="U1009" s="145"/>
      <c r="V1009" s="145"/>
      <c r="W1009" s="145"/>
      <c r="X1009" s="145"/>
      <c r="Y1009" s="145"/>
      <c r="Z1009" s="145"/>
      <c r="AA1009" s="145"/>
      <c r="AB1009" s="145"/>
      <c r="AC1009" s="145"/>
      <c r="AD1009" s="145"/>
      <c r="AE1009" s="145"/>
      <c r="AF1009" s="145"/>
      <c r="AG1009" s="145"/>
      <c r="AH1009" s="145"/>
      <c r="AI1009" s="145"/>
      <c r="AJ1009" s="145"/>
      <c r="AK1009" s="145"/>
      <c r="AL1009" s="145"/>
      <c r="AM1009" s="145"/>
      <c r="AN1009" s="145"/>
      <c r="AO1009" s="145"/>
      <c r="AP1009" s="145"/>
      <c r="AQ1009" s="145"/>
      <c r="AR1009" s="145"/>
      <c r="AS1009" s="145"/>
      <c r="AT1009" s="146"/>
      <c r="AU1009" s="146"/>
      <c r="AV1009" s="145"/>
      <c r="AW1009" s="145"/>
      <c r="AX1009" s="145"/>
      <c r="AY1009" s="145"/>
      <c r="AZ1009" s="145"/>
      <c r="BA1009" s="145"/>
      <c r="BB1009" s="145"/>
      <c r="BC1009" s="145"/>
      <c r="BD1009" s="145"/>
    </row>
    <row r="1010" spans="1:56" ht="18.75" customHeight="1" x14ac:dyDescent="0.55000000000000004">
      <c r="A1010" s="145"/>
      <c r="B1010" s="145"/>
      <c r="C1010" s="145"/>
      <c r="D1010" s="145"/>
      <c r="E1010" s="145"/>
      <c r="F1010" s="145"/>
      <c r="G1010" s="145"/>
      <c r="H1010" s="145"/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5"/>
      <c r="S1010" s="145"/>
      <c r="T1010" s="145"/>
      <c r="U1010" s="145"/>
      <c r="V1010" s="145"/>
      <c r="W1010" s="145"/>
      <c r="X1010" s="145"/>
      <c r="Y1010" s="145"/>
      <c r="Z1010" s="145"/>
      <c r="AA1010" s="145"/>
      <c r="AB1010" s="145"/>
      <c r="AC1010" s="145"/>
      <c r="AD1010" s="145"/>
      <c r="AE1010" s="145"/>
      <c r="AF1010" s="145"/>
      <c r="AG1010" s="145"/>
      <c r="AH1010" s="145"/>
      <c r="AI1010" s="145"/>
      <c r="AJ1010" s="145"/>
      <c r="AK1010" s="145"/>
      <c r="AL1010" s="145"/>
      <c r="AM1010" s="145"/>
      <c r="AN1010" s="145"/>
      <c r="AO1010" s="145"/>
      <c r="AP1010" s="145"/>
      <c r="AQ1010" s="145"/>
      <c r="AR1010" s="145"/>
      <c r="AS1010" s="145"/>
      <c r="AT1010" s="146"/>
      <c r="AU1010" s="146"/>
      <c r="AV1010" s="145"/>
      <c r="AW1010" s="145"/>
      <c r="AX1010" s="145"/>
      <c r="AY1010" s="145"/>
      <c r="AZ1010" s="145"/>
      <c r="BA1010" s="145"/>
      <c r="BB1010" s="145"/>
      <c r="BC1010" s="145"/>
      <c r="BD1010" s="145"/>
    </row>
    <row r="1011" spans="1:56" ht="18.75" customHeight="1" x14ac:dyDescent="0.55000000000000004">
      <c r="A1011" s="145"/>
      <c r="B1011" s="145"/>
      <c r="C1011" s="145"/>
      <c r="D1011" s="145"/>
      <c r="E1011" s="145"/>
      <c r="F1011" s="145"/>
      <c r="G1011" s="145"/>
      <c r="H1011" s="145"/>
      <c r="I1011" s="145"/>
      <c r="J1011" s="145"/>
      <c r="K1011" s="145"/>
      <c r="L1011" s="145"/>
      <c r="M1011" s="145"/>
      <c r="N1011" s="145"/>
      <c r="O1011" s="145"/>
      <c r="P1011" s="145"/>
      <c r="Q1011" s="145"/>
      <c r="R1011" s="145"/>
      <c r="S1011" s="145"/>
      <c r="T1011" s="145"/>
      <c r="U1011" s="145"/>
      <c r="V1011" s="145"/>
      <c r="W1011" s="145"/>
      <c r="X1011" s="145"/>
      <c r="Y1011" s="145"/>
      <c r="Z1011" s="145"/>
      <c r="AA1011" s="145"/>
      <c r="AB1011" s="145"/>
      <c r="AC1011" s="145"/>
      <c r="AD1011" s="145"/>
      <c r="AE1011" s="145"/>
      <c r="AF1011" s="145"/>
      <c r="AG1011" s="145"/>
      <c r="AH1011" s="145"/>
      <c r="AI1011" s="145"/>
      <c r="AJ1011" s="145"/>
      <c r="AK1011" s="145"/>
      <c r="AL1011" s="145"/>
      <c r="AM1011" s="145"/>
      <c r="AN1011" s="145"/>
      <c r="AO1011" s="145"/>
      <c r="AP1011" s="145"/>
      <c r="AQ1011" s="145"/>
      <c r="AR1011" s="145"/>
      <c r="AS1011" s="145"/>
      <c r="AT1011" s="146"/>
      <c r="AU1011" s="146"/>
      <c r="AV1011" s="145"/>
      <c r="AW1011" s="145"/>
      <c r="AX1011" s="145"/>
      <c r="AY1011" s="145"/>
      <c r="AZ1011" s="145"/>
      <c r="BA1011" s="145"/>
      <c r="BB1011" s="145"/>
      <c r="BC1011" s="145"/>
      <c r="BD1011" s="145"/>
    </row>
    <row r="1012" spans="1:56" ht="18.75" customHeight="1" x14ac:dyDescent="0.55000000000000004">
      <c r="A1012" s="145"/>
      <c r="B1012" s="145"/>
      <c r="C1012" s="145"/>
      <c r="D1012" s="145"/>
      <c r="E1012" s="145"/>
      <c r="F1012" s="145"/>
      <c r="G1012" s="145"/>
      <c r="H1012" s="145"/>
      <c r="I1012" s="145"/>
      <c r="J1012" s="145"/>
      <c r="K1012" s="145"/>
      <c r="L1012" s="145"/>
      <c r="M1012" s="145"/>
      <c r="N1012" s="145"/>
      <c r="O1012" s="145"/>
      <c r="P1012" s="145"/>
      <c r="Q1012" s="145"/>
      <c r="R1012" s="145"/>
      <c r="S1012" s="145"/>
      <c r="T1012" s="145"/>
      <c r="U1012" s="145"/>
      <c r="V1012" s="145"/>
      <c r="W1012" s="145"/>
      <c r="X1012" s="145"/>
      <c r="Y1012" s="145"/>
      <c r="Z1012" s="145"/>
      <c r="AA1012" s="145"/>
      <c r="AB1012" s="145"/>
      <c r="AC1012" s="145"/>
      <c r="AD1012" s="145"/>
      <c r="AE1012" s="145"/>
      <c r="AF1012" s="145"/>
      <c r="AG1012" s="145"/>
      <c r="AH1012" s="145"/>
      <c r="AI1012" s="145"/>
      <c r="AJ1012" s="145"/>
      <c r="AK1012" s="145"/>
      <c r="AL1012" s="145"/>
      <c r="AM1012" s="145"/>
      <c r="AN1012" s="145"/>
      <c r="AO1012" s="145"/>
      <c r="AP1012" s="145"/>
      <c r="AQ1012" s="145"/>
      <c r="AR1012" s="145"/>
      <c r="AS1012" s="145"/>
      <c r="AT1012" s="146"/>
      <c r="AU1012" s="146"/>
      <c r="AV1012" s="145"/>
      <c r="AW1012" s="145"/>
      <c r="AX1012" s="145"/>
      <c r="AY1012" s="145"/>
      <c r="AZ1012" s="145"/>
      <c r="BA1012" s="145"/>
      <c r="BB1012" s="145"/>
      <c r="BC1012" s="145"/>
      <c r="BD1012" s="145"/>
    </row>
    <row r="1013" spans="1:56" ht="18.75" customHeight="1" x14ac:dyDescent="0.55000000000000004">
      <c r="A1013" s="145"/>
      <c r="B1013" s="145"/>
      <c r="C1013" s="145"/>
      <c r="D1013" s="145"/>
      <c r="E1013" s="145"/>
      <c r="F1013" s="145"/>
      <c r="G1013" s="145"/>
      <c r="H1013" s="145"/>
      <c r="I1013" s="145"/>
      <c r="J1013" s="145"/>
      <c r="K1013" s="145"/>
      <c r="L1013" s="145"/>
      <c r="M1013" s="145"/>
      <c r="N1013" s="145"/>
      <c r="O1013" s="145"/>
      <c r="P1013" s="145"/>
      <c r="Q1013" s="145"/>
      <c r="R1013" s="145"/>
      <c r="S1013" s="145"/>
      <c r="T1013" s="145"/>
      <c r="U1013" s="145"/>
      <c r="V1013" s="145"/>
      <c r="W1013" s="145"/>
      <c r="X1013" s="145"/>
      <c r="Y1013" s="145"/>
      <c r="Z1013" s="145"/>
      <c r="AA1013" s="145"/>
      <c r="AB1013" s="145"/>
      <c r="AC1013" s="145"/>
      <c r="AD1013" s="145"/>
      <c r="AE1013" s="145"/>
      <c r="AF1013" s="145"/>
      <c r="AG1013" s="145"/>
      <c r="AH1013" s="145"/>
      <c r="AI1013" s="145"/>
      <c r="AJ1013" s="145"/>
      <c r="AK1013" s="145"/>
      <c r="AL1013" s="145"/>
      <c r="AM1013" s="145"/>
      <c r="AN1013" s="145"/>
      <c r="AO1013" s="145"/>
      <c r="AP1013" s="145"/>
      <c r="AQ1013" s="145"/>
      <c r="AR1013" s="145"/>
      <c r="AS1013" s="145"/>
      <c r="AT1013" s="146"/>
      <c r="AU1013" s="146"/>
      <c r="AV1013" s="145"/>
      <c r="AW1013" s="145"/>
      <c r="AX1013" s="145"/>
      <c r="AY1013" s="145"/>
      <c r="AZ1013" s="145"/>
      <c r="BA1013" s="145"/>
      <c r="BB1013" s="145"/>
      <c r="BC1013" s="145"/>
      <c r="BD1013" s="145"/>
    </row>
    <row r="1014" spans="1:56" ht="18.75" customHeight="1" x14ac:dyDescent="0.55000000000000004">
      <c r="A1014" s="145"/>
      <c r="B1014" s="145"/>
      <c r="C1014" s="145"/>
      <c r="D1014" s="145"/>
      <c r="E1014" s="145"/>
      <c r="F1014" s="145"/>
      <c r="G1014" s="145"/>
      <c r="H1014" s="145"/>
      <c r="I1014" s="145"/>
      <c r="J1014" s="145"/>
      <c r="K1014" s="145"/>
      <c r="L1014" s="145"/>
      <c r="M1014" s="145"/>
      <c r="N1014" s="145"/>
      <c r="O1014" s="145"/>
      <c r="P1014" s="145"/>
      <c r="Q1014" s="145"/>
      <c r="R1014" s="145"/>
      <c r="S1014" s="145"/>
      <c r="T1014" s="145"/>
      <c r="U1014" s="145"/>
      <c r="V1014" s="145"/>
      <c r="W1014" s="145"/>
      <c r="X1014" s="145"/>
      <c r="Y1014" s="145"/>
      <c r="Z1014" s="145"/>
      <c r="AA1014" s="145"/>
      <c r="AB1014" s="145"/>
      <c r="AC1014" s="145"/>
      <c r="AD1014" s="145"/>
      <c r="AE1014" s="145"/>
      <c r="AF1014" s="145"/>
      <c r="AG1014" s="145"/>
      <c r="AH1014" s="145"/>
      <c r="AI1014" s="145"/>
      <c r="AJ1014" s="145"/>
      <c r="AK1014" s="145"/>
      <c r="AL1014" s="145"/>
      <c r="AM1014" s="145"/>
      <c r="AN1014" s="145"/>
      <c r="AO1014" s="145"/>
      <c r="AP1014" s="145"/>
      <c r="AQ1014" s="145"/>
      <c r="AR1014" s="145"/>
      <c r="AS1014" s="145"/>
      <c r="AT1014" s="146"/>
      <c r="AU1014" s="146"/>
      <c r="AV1014" s="145"/>
      <c r="AW1014" s="145"/>
      <c r="AX1014" s="145"/>
      <c r="AY1014" s="145"/>
      <c r="AZ1014" s="145"/>
      <c r="BA1014" s="145"/>
      <c r="BB1014" s="145"/>
      <c r="BC1014" s="145"/>
      <c r="BD1014" s="145"/>
    </row>
    <row r="1015" spans="1:56" ht="18.75" customHeight="1" x14ac:dyDescent="0.55000000000000004">
      <c r="A1015" s="145"/>
      <c r="B1015" s="145"/>
      <c r="C1015" s="145"/>
      <c r="D1015" s="145"/>
      <c r="E1015" s="145"/>
      <c r="F1015" s="145"/>
      <c r="G1015" s="145"/>
      <c r="H1015" s="145"/>
      <c r="I1015" s="145"/>
      <c r="J1015" s="145"/>
      <c r="K1015" s="145"/>
      <c r="L1015" s="145"/>
      <c r="M1015" s="145"/>
      <c r="N1015" s="145"/>
      <c r="O1015" s="145"/>
      <c r="P1015" s="145"/>
      <c r="Q1015" s="145"/>
      <c r="R1015" s="145"/>
      <c r="S1015" s="145"/>
      <c r="T1015" s="145"/>
      <c r="U1015" s="145"/>
      <c r="V1015" s="145"/>
      <c r="W1015" s="145"/>
      <c r="X1015" s="145"/>
      <c r="Y1015" s="145"/>
      <c r="Z1015" s="145"/>
      <c r="AA1015" s="145"/>
      <c r="AB1015" s="145"/>
      <c r="AC1015" s="145"/>
      <c r="AD1015" s="145"/>
      <c r="AE1015" s="145"/>
      <c r="AF1015" s="145"/>
      <c r="AG1015" s="145"/>
      <c r="AH1015" s="145"/>
      <c r="AI1015" s="145"/>
      <c r="AJ1015" s="145"/>
      <c r="AK1015" s="145"/>
      <c r="AL1015" s="145"/>
      <c r="AM1015" s="145"/>
      <c r="AN1015" s="145"/>
      <c r="AO1015" s="145"/>
      <c r="AP1015" s="145"/>
      <c r="AQ1015" s="145"/>
      <c r="AR1015" s="145"/>
      <c r="AS1015" s="145"/>
      <c r="AT1015" s="146"/>
      <c r="AU1015" s="146"/>
      <c r="AV1015" s="145"/>
      <c r="AW1015" s="145"/>
      <c r="AX1015" s="145"/>
      <c r="AY1015" s="145"/>
      <c r="AZ1015" s="145"/>
      <c r="BA1015" s="145"/>
      <c r="BB1015" s="145"/>
      <c r="BC1015" s="145"/>
      <c r="BD1015" s="145"/>
    </row>
    <row r="1016" spans="1:56" ht="18.75" customHeight="1" x14ac:dyDescent="0.55000000000000004">
      <c r="A1016" s="145"/>
      <c r="B1016" s="145"/>
      <c r="C1016" s="145"/>
      <c r="D1016" s="145"/>
      <c r="E1016" s="145"/>
      <c r="F1016" s="145"/>
      <c r="G1016" s="145"/>
      <c r="H1016" s="145"/>
      <c r="I1016" s="145"/>
      <c r="J1016" s="145"/>
      <c r="K1016" s="145"/>
      <c r="L1016" s="145"/>
      <c r="M1016" s="145"/>
      <c r="N1016" s="145"/>
      <c r="O1016" s="145"/>
      <c r="P1016" s="145"/>
      <c r="Q1016" s="145"/>
      <c r="R1016" s="145"/>
      <c r="S1016" s="145"/>
      <c r="T1016" s="145"/>
      <c r="U1016" s="145"/>
      <c r="V1016" s="145"/>
      <c r="W1016" s="145"/>
      <c r="X1016" s="145"/>
      <c r="Y1016" s="145"/>
      <c r="Z1016" s="145"/>
      <c r="AA1016" s="145"/>
      <c r="AB1016" s="145"/>
      <c r="AC1016" s="145"/>
      <c r="AD1016" s="145"/>
      <c r="AE1016" s="145"/>
      <c r="AF1016" s="145"/>
      <c r="AG1016" s="145"/>
      <c r="AH1016" s="145"/>
      <c r="AI1016" s="145"/>
      <c r="AJ1016" s="145"/>
      <c r="AK1016" s="145"/>
      <c r="AL1016" s="145"/>
      <c r="AM1016" s="145"/>
      <c r="AN1016" s="145"/>
      <c r="AO1016" s="145"/>
      <c r="AP1016" s="145"/>
      <c r="AQ1016" s="145"/>
      <c r="AR1016" s="145"/>
      <c r="AS1016" s="145"/>
      <c r="AT1016" s="146"/>
      <c r="AU1016" s="146"/>
      <c r="AV1016" s="145"/>
      <c r="AW1016" s="145"/>
      <c r="AX1016" s="145"/>
      <c r="AY1016" s="145"/>
      <c r="AZ1016" s="145"/>
      <c r="BA1016" s="145"/>
      <c r="BB1016" s="145"/>
      <c r="BC1016" s="145"/>
      <c r="BD1016" s="145"/>
    </row>
    <row r="1017" spans="1:56" ht="18.75" customHeight="1" x14ac:dyDescent="0.55000000000000004">
      <c r="A1017" s="145"/>
      <c r="B1017" s="145"/>
      <c r="C1017" s="145"/>
      <c r="D1017" s="145"/>
      <c r="E1017" s="145"/>
      <c r="F1017" s="145"/>
      <c r="G1017" s="145"/>
      <c r="H1017" s="145"/>
      <c r="I1017" s="145"/>
      <c r="J1017" s="145"/>
      <c r="K1017" s="145"/>
      <c r="L1017" s="145"/>
      <c r="M1017" s="145"/>
      <c r="N1017" s="145"/>
      <c r="O1017" s="145"/>
      <c r="P1017" s="145"/>
      <c r="Q1017" s="145"/>
      <c r="R1017" s="145"/>
      <c r="S1017" s="145"/>
      <c r="T1017" s="145"/>
      <c r="U1017" s="145"/>
      <c r="V1017" s="145"/>
      <c r="W1017" s="145"/>
      <c r="X1017" s="145"/>
      <c r="Y1017" s="145"/>
      <c r="Z1017" s="145"/>
      <c r="AA1017" s="145"/>
      <c r="AB1017" s="145"/>
      <c r="AC1017" s="145"/>
      <c r="AD1017" s="145"/>
      <c r="AE1017" s="145"/>
      <c r="AF1017" s="145"/>
      <c r="AG1017" s="145"/>
      <c r="AH1017" s="145"/>
      <c r="AI1017" s="145"/>
      <c r="AJ1017" s="145"/>
      <c r="AK1017" s="145"/>
      <c r="AL1017" s="145"/>
      <c r="AM1017" s="145"/>
      <c r="AN1017" s="145"/>
      <c r="AO1017" s="145"/>
      <c r="AP1017" s="145"/>
      <c r="AQ1017" s="145"/>
      <c r="AR1017" s="145"/>
      <c r="AS1017" s="145"/>
      <c r="AT1017" s="146"/>
      <c r="AU1017" s="146"/>
      <c r="AV1017" s="145"/>
      <c r="AW1017" s="145"/>
      <c r="AX1017" s="145"/>
      <c r="AY1017" s="145"/>
      <c r="AZ1017" s="145"/>
      <c r="BA1017" s="145"/>
      <c r="BB1017" s="145"/>
      <c r="BC1017" s="145"/>
      <c r="BD1017" s="145"/>
    </row>
    <row r="1018" spans="1:56" ht="18.75" customHeight="1" x14ac:dyDescent="0.55000000000000004">
      <c r="A1018" s="145"/>
      <c r="B1018" s="145"/>
      <c r="C1018" s="145"/>
      <c r="D1018" s="145"/>
      <c r="E1018" s="145"/>
      <c r="F1018" s="145"/>
      <c r="G1018" s="145"/>
      <c r="H1018" s="145"/>
      <c r="I1018" s="145"/>
      <c r="J1018" s="145"/>
      <c r="K1018" s="145"/>
      <c r="L1018" s="145"/>
      <c r="M1018" s="145"/>
      <c r="N1018" s="145"/>
      <c r="O1018" s="145"/>
      <c r="P1018" s="145"/>
      <c r="Q1018" s="145"/>
      <c r="R1018" s="145"/>
      <c r="S1018" s="145"/>
      <c r="T1018" s="145"/>
      <c r="U1018" s="145"/>
      <c r="V1018" s="145"/>
      <c r="W1018" s="145"/>
      <c r="X1018" s="145"/>
      <c r="Y1018" s="145"/>
      <c r="Z1018" s="145"/>
      <c r="AA1018" s="145"/>
      <c r="AB1018" s="145"/>
      <c r="AC1018" s="145"/>
      <c r="AD1018" s="145"/>
      <c r="AE1018" s="145"/>
      <c r="AF1018" s="145"/>
      <c r="AG1018" s="145"/>
      <c r="AH1018" s="145"/>
      <c r="AI1018" s="145"/>
      <c r="AJ1018" s="145"/>
      <c r="AK1018" s="145"/>
      <c r="AL1018" s="145"/>
      <c r="AM1018" s="145"/>
      <c r="AN1018" s="145"/>
      <c r="AO1018" s="145"/>
      <c r="AP1018" s="145"/>
      <c r="AQ1018" s="145"/>
      <c r="AR1018" s="145"/>
      <c r="AS1018" s="145"/>
      <c r="AT1018" s="146"/>
      <c r="AU1018" s="146"/>
      <c r="AV1018" s="145"/>
      <c r="AW1018" s="145"/>
      <c r="AX1018" s="145"/>
      <c r="AY1018" s="145"/>
      <c r="AZ1018" s="145"/>
      <c r="BA1018" s="145"/>
      <c r="BB1018" s="145"/>
      <c r="BC1018" s="145"/>
      <c r="BD1018" s="145"/>
    </row>
    <row r="1019" spans="1:56" ht="18.75" customHeight="1" x14ac:dyDescent="0.55000000000000004">
      <c r="A1019" s="145"/>
      <c r="B1019" s="145"/>
      <c r="C1019" s="145"/>
      <c r="D1019" s="145"/>
      <c r="E1019" s="145"/>
      <c r="F1019" s="145"/>
      <c r="G1019" s="145"/>
      <c r="H1019" s="145"/>
      <c r="I1019" s="145"/>
      <c r="J1019" s="145"/>
      <c r="K1019" s="145"/>
      <c r="L1019" s="145"/>
      <c r="M1019" s="145"/>
      <c r="N1019" s="145"/>
      <c r="O1019" s="145"/>
      <c r="P1019" s="145"/>
      <c r="Q1019" s="145"/>
      <c r="R1019" s="145"/>
      <c r="S1019" s="145"/>
      <c r="T1019" s="145"/>
      <c r="U1019" s="145"/>
      <c r="V1019" s="145"/>
      <c r="W1019" s="145"/>
      <c r="X1019" s="145"/>
      <c r="Y1019" s="145"/>
      <c r="Z1019" s="145"/>
      <c r="AA1019" s="145"/>
      <c r="AB1019" s="145"/>
      <c r="AC1019" s="145"/>
      <c r="AD1019" s="145"/>
      <c r="AE1019" s="145"/>
      <c r="AF1019" s="145"/>
      <c r="AG1019" s="145"/>
      <c r="AH1019" s="145"/>
      <c r="AI1019" s="145"/>
      <c r="AJ1019" s="145"/>
      <c r="AK1019" s="145"/>
      <c r="AL1019" s="145"/>
      <c r="AM1019" s="145"/>
      <c r="AN1019" s="145"/>
      <c r="AO1019" s="145"/>
      <c r="AP1019" s="145"/>
      <c r="AQ1019" s="145"/>
      <c r="AR1019" s="145"/>
      <c r="AS1019" s="145"/>
      <c r="AT1019" s="146"/>
      <c r="AU1019" s="146"/>
      <c r="AV1019" s="145"/>
      <c r="AW1019" s="145"/>
      <c r="AX1019" s="145"/>
      <c r="AY1019" s="145"/>
      <c r="AZ1019" s="145"/>
      <c r="BA1019" s="145"/>
      <c r="BB1019" s="145"/>
      <c r="BC1019" s="145"/>
      <c r="BD1019" s="145"/>
    </row>
    <row r="1020" spans="1:56" ht="18.75" customHeight="1" x14ac:dyDescent="0.55000000000000004">
      <c r="A1020" s="145"/>
      <c r="B1020" s="145"/>
      <c r="C1020" s="145"/>
      <c r="D1020" s="145"/>
      <c r="E1020" s="145"/>
      <c r="F1020" s="145"/>
      <c r="G1020" s="145"/>
      <c r="H1020" s="145"/>
      <c r="I1020" s="145"/>
      <c r="J1020" s="145"/>
      <c r="K1020" s="145"/>
      <c r="L1020" s="145"/>
      <c r="M1020" s="145"/>
      <c r="N1020" s="145"/>
      <c r="O1020" s="145"/>
      <c r="P1020" s="145"/>
      <c r="Q1020" s="145"/>
      <c r="R1020" s="145"/>
      <c r="S1020" s="145"/>
      <c r="T1020" s="145"/>
      <c r="U1020" s="145"/>
      <c r="V1020" s="145"/>
      <c r="W1020" s="145"/>
      <c r="X1020" s="145"/>
      <c r="Y1020" s="145"/>
      <c r="Z1020" s="145"/>
      <c r="AA1020" s="145"/>
      <c r="AB1020" s="145"/>
      <c r="AC1020" s="145"/>
      <c r="AD1020" s="145"/>
      <c r="AE1020" s="145"/>
      <c r="AF1020" s="145"/>
      <c r="AG1020" s="145"/>
      <c r="AH1020" s="145"/>
      <c r="AI1020" s="145"/>
      <c r="AJ1020" s="145"/>
      <c r="AK1020" s="145"/>
      <c r="AL1020" s="145"/>
      <c r="AM1020" s="145"/>
      <c r="AN1020" s="145"/>
      <c r="AO1020" s="145"/>
      <c r="AP1020" s="145"/>
      <c r="AQ1020" s="145"/>
      <c r="AR1020" s="145"/>
      <c r="AS1020" s="145"/>
      <c r="AT1020" s="146"/>
      <c r="AU1020" s="146"/>
      <c r="AV1020" s="145"/>
      <c r="AW1020" s="145"/>
      <c r="AX1020" s="145"/>
      <c r="AY1020" s="145"/>
      <c r="AZ1020" s="145"/>
      <c r="BA1020" s="145"/>
      <c r="BB1020" s="145"/>
      <c r="BC1020" s="145"/>
      <c r="BD1020" s="145"/>
    </row>
    <row r="1021" spans="1:56" ht="18.75" customHeight="1" x14ac:dyDescent="0.55000000000000004">
      <c r="A1021" s="145"/>
      <c r="B1021" s="145"/>
      <c r="C1021" s="145"/>
      <c r="D1021" s="145"/>
      <c r="E1021" s="145"/>
      <c r="F1021" s="145"/>
      <c r="G1021" s="145"/>
      <c r="H1021" s="145"/>
      <c r="I1021" s="145"/>
      <c r="J1021" s="145"/>
      <c r="K1021" s="145"/>
      <c r="L1021" s="145"/>
      <c r="M1021" s="145"/>
      <c r="N1021" s="145"/>
      <c r="O1021" s="145"/>
      <c r="P1021" s="145"/>
      <c r="Q1021" s="145"/>
      <c r="R1021" s="145"/>
      <c r="S1021" s="145"/>
      <c r="T1021" s="145"/>
      <c r="U1021" s="145"/>
      <c r="V1021" s="145"/>
      <c r="W1021" s="145"/>
      <c r="X1021" s="145"/>
      <c r="Y1021" s="145"/>
      <c r="Z1021" s="145"/>
      <c r="AA1021" s="145"/>
      <c r="AB1021" s="145"/>
      <c r="AC1021" s="145"/>
      <c r="AD1021" s="145"/>
      <c r="AE1021" s="145"/>
      <c r="AF1021" s="145"/>
      <c r="AG1021" s="145"/>
      <c r="AH1021" s="145"/>
      <c r="AI1021" s="145"/>
      <c r="AJ1021" s="145"/>
      <c r="AK1021" s="145"/>
      <c r="AL1021" s="145"/>
      <c r="AM1021" s="145"/>
      <c r="AN1021" s="145"/>
      <c r="AO1021" s="145"/>
      <c r="AP1021" s="145"/>
      <c r="AQ1021" s="145"/>
      <c r="AR1021" s="145"/>
      <c r="AS1021" s="145"/>
      <c r="AT1021" s="146"/>
      <c r="AU1021" s="146"/>
      <c r="AV1021" s="145"/>
      <c r="AW1021" s="145"/>
      <c r="AX1021" s="145"/>
      <c r="AY1021" s="145"/>
      <c r="AZ1021" s="145"/>
      <c r="BA1021" s="145"/>
      <c r="BB1021" s="145"/>
      <c r="BC1021" s="145"/>
      <c r="BD1021" s="145"/>
    </row>
    <row r="1022" spans="1:56" ht="15" customHeight="1" x14ac:dyDescent="0.55000000000000004">
      <c r="A1022" s="145"/>
      <c r="B1022" s="145"/>
      <c r="C1022" s="145"/>
      <c r="D1022" s="145"/>
      <c r="E1022" s="145"/>
      <c r="F1022" s="145"/>
      <c r="G1022" s="145"/>
      <c r="H1022" s="145"/>
      <c r="I1022" s="145"/>
      <c r="J1022" s="145"/>
      <c r="K1022" s="145"/>
      <c r="L1022" s="145"/>
      <c r="M1022" s="145"/>
      <c r="N1022" s="145"/>
      <c r="O1022" s="145"/>
      <c r="P1022" s="145"/>
      <c r="Q1022" s="145"/>
      <c r="R1022" s="145"/>
      <c r="S1022" s="145"/>
      <c r="T1022" s="145"/>
      <c r="U1022" s="145"/>
      <c r="V1022" s="145"/>
      <c r="W1022" s="145"/>
      <c r="X1022" s="145"/>
      <c r="Y1022" s="145"/>
      <c r="Z1022" s="145"/>
      <c r="AA1022" s="145"/>
      <c r="AB1022" s="145"/>
      <c r="AC1022" s="145"/>
      <c r="AD1022" s="145"/>
      <c r="AE1022" s="145"/>
      <c r="AF1022" s="145"/>
      <c r="AG1022" s="145"/>
      <c r="AH1022" s="145"/>
      <c r="AI1022" s="145"/>
      <c r="AJ1022" s="145"/>
      <c r="AK1022" s="145"/>
      <c r="AL1022" s="145"/>
      <c r="AM1022" s="145"/>
      <c r="AN1022" s="145"/>
      <c r="AO1022" s="145"/>
      <c r="AP1022" s="145"/>
      <c r="AQ1022" s="145"/>
      <c r="AR1022" s="145"/>
    </row>
  </sheetData>
  <mergeCells count="76">
    <mergeCell ref="A64:N64"/>
    <mergeCell ref="V64:AD64"/>
    <mergeCell ref="A41:AR41"/>
    <mergeCell ref="A43:AR43"/>
    <mergeCell ref="Q58:S58"/>
    <mergeCell ref="T59:AA59"/>
    <mergeCell ref="T60:AA60"/>
    <mergeCell ref="A63:Q63"/>
    <mergeCell ref="Q30:S30"/>
    <mergeCell ref="T31:AB31"/>
    <mergeCell ref="T32:AB32"/>
    <mergeCell ref="A34:AR34"/>
    <mergeCell ref="A35:AR35"/>
    <mergeCell ref="A65:N65"/>
    <mergeCell ref="V65:AD65"/>
    <mergeCell ref="P38:R38"/>
    <mergeCell ref="T39:AB39"/>
    <mergeCell ref="T40:AB40"/>
    <mergeCell ref="O21:S21"/>
    <mergeCell ref="A23:AR23"/>
    <mergeCell ref="G24:I24"/>
    <mergeCell ref="Q24:T24"/>
    <mergeCell ref="A36:AR36"/>
    <mergeCell ref="B26:F26"/>
    <mergeCell ref="G26:AD26"/>
    <mergeCell ref="AG26:AK26"/>
    <mergeCell ref="V28:W28"/>
    <mergeCell ref="AE29:AG29"/>
    <mergeCell ref="U13:X13"/>
    <mergeCell ref="Y13:Z13"/>
    <mergeCell ref="AB13:AQ13"/>
    <mergeCell ref="B25:E25"/>
    <mergeCell ref="G25:I25"/>
    <mergeCell ref="Q25:T25"/>
    <mergeCell ref="B15:D15"/>
    <mergeCell ref="E15:H15"/>
    <mergeCell ref="K15:Y15"/>
    <mergeCell ref="B21:N21"/>
    <mergeCell ref="AA15:AD15"/>
    <mergeCell ref="J17:L17"/>
    <mergeCell ref="E19:U19"/>
    <mergeCell ref="A10:F10"/>
    <mergeCell ref="G10:AR10"/>
    <mergeCell ref="H11:AR11"/>
    <mergeCell ref="A13:B13"/>
    <mergeCell ref="C13:F13"/>
    <mergeCell ref="G13:H13"/>
    <mergeCell ref="I13:T13"/>
    <mergeCell ref="AK8:AR8"/>
    <mergeCell ref="A9:F9"/>
    <mergeCell ref="G9:H9"/>
    <mergeCell ref="J9:O9"/>
    <mergeCell ref="Q9:T9"/>
    <mergeCell ref="U9:Z9"/>
    <mergeCell ref="AA9:AE9"/>
    <mergeCell ref="AF9:AN9"/>
    <mergeCell ref="AI5:AR5"/>
    <mergeCell ref="B6:AR6"/>
    <mergeCell ref="A7:AR7"/>
    <mergeCell ref="A8:E8"/>
    <mergeCell ref="F8:J8"/>
    <mergeCell ref="K8:O8"/>
    <mergeCell ref="P8:U8"/>
    <mergeCell ref="V8:AA8"/>
    <mergeCell ref="AB8:AG8"/>
    <mergeCell ref="AH8:AJ8"/>
    <mergeCell ref="F1:AI1"/>
    <mergeCell ref="A2:AM2"/>
    <mergeCell ref="AC3:AH3"/>
    <mergeCell ref="A4:Z4"/>
    <mergeCell ref="F5:N5"/>
    <mergeCell ref="O5:P5"/>
    <mergeCell ref="Q5:Z5"/>
    <mergeCell ref="AA5:AB5"/>
    <mergeCell ref="AC5:AD5"/>
    <mergeCell ref="AF5:AH5"/>
  </mergeCells>
  <printOptions horizontalCentered="1"/>
  <pageMargins left="0.43307086614173229" right="0.43307086614173229" top="0.74803149606299213" bottom="0.74803149606299213" header="0.31496062992125984" footer="0.31496062992125984"/>
  <pageSetup paperSize="9" scale="59" fitToHeight="0" orientation="portrait" r:id="rId1"/>
  <rowBreaks count="1" manualBreakCount="1">
    <brk id="40" max="4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A2F7-25B7-40E0-A0CD-971E3F30BB0B}">
  <sheetPr>
    <tabColor rgb="FF92D050"/>
  </sheetPr>
  <dimension ref="A1:AH870"/>
  <sheetViews>
    <sheetView view="pageBreakPreview" topLeftCell="A40" zoomScale="85" zoomScaleNormal="60" zoomScaleSheetLayoutView="85" workbookViewId="0">
      <selection activeCell="A49" sqref="A49:R49"/>
    </sheetView>
  </sheetViews>
  <sheetFormatPr defaultColWidth="12.125" defaultRowHeight="15" customHeight="1" x14ac:dyDescent="0.2"/>
  <cols>
    <col min="1" max="1" width="7" style="84" customWidth="1"/>
    <col min="2" max="2" width="58.625" style="85" customWidth="1"/>
    <col min="3" max="3" width="2.625" style="75" customWidth="1"/>
    <col min="4" max="4" width="3.625" style="86" customWidth="1"/>
    <col min="5" max="5" width="10.125" style="100" customWidth="1"/>
    <col min="6" max="6" width="8.25" style="75" customWidth="1"/>
    <col min="7" max="7" width="5.25" style="87" customWidth="1"/>
    <col min="8" max="8" width="10" style="5" customWidth="1"/>
    <col min="9" max="9" width="2" style="84" customWidth="1"/>
    <col min="10" max="10" width="2.875" style="75" hidden="1" customWidth="1"/>
    <col min="11" max="11" width="2.75" style="75" hidden="1" customWidth="1"/>
    <col min="12" max="13" width="1.75" style="75" customWidth="1"/>
    <col min="14" max="14" width="13.25" style="88" customWidth="1"/>
    <col min="15" max="15" width="5.5" style="75" customWidth="1"/>
    <col min="16" max="16" width="13.875" style="89" customWidth="1"/>
    <col min="17" max="17" width="5.875" style="5" customWidth="1"/>
    <col min="18" max="18" width="1.125" style="75" customWidth="1"/>
    <col min="19" max="19" width="5.875" style="90" customWidth="1"/>
    <col min="20" max="20" width="9.125" style="5" customWidth="1"/>
    <col min="21" max="21" width="47.375" style="85" customWidth="1"/>
    <col min="22" max="22" width="5.625" style="75" customWidth="1"/>
    <col min="23" max="23" width="4.75" style="75" customWidth="1"/>
    <col min="24" max="16384" width="12.125" style="75"/>
  </cols>
  <sheetData>
    <row r="1" spans="1:21" s="1" customFormat="1" ht="34.9" customHeight="1" x14ac:dyDescent="0.2">
      <c r="A1" s="129" t="s">
        <v>11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</row>
    <row r="2" spans="1:21" s="6" customFormat="1" ht="37.9" customHeight="1" x14ac:dyDescent="0.2">
      <c r="A2" s="130" t="s">
        <v>12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</row>
    <row r="3" spans="1:21" s="6" customFormat="1" ht="33.6" customHeight="1" thickBot="1" x14ac:dyDescent="0.25">
      <c r="A3" s="131" t="s">
        <v>6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</row>
    <row r="4" spans="1:21" s="2" customFormat="1" ht="74.25" customHeight="1" thickBot="1" x14ac:dyDescent="0.25">
      <c r="A4" s="109" t="s">
        <v>4</v>
      </c>
      <c r="B4" s="132" t="s">
        <v>7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3" t="s">
        <v>3</v>
      </c>
      <c r="S4" s="133"/>
      <c r="T4" s="133"/>
      <c r="U4" s="103" t="s">
        <v>2</v>
      </c>
    </row>
    <row r="5" spans="1:21" s="11" customFormat="1" ht="52.15" customHeight="1" x14ac:dyDescent="0.2">
      <c r="A5" s="102">
        <v>1</v>
      </c>
      <c r="B5" s="134" t="s">
        <v>48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7" t="s">
        <v>8</v>
      </c>
      <c r="P5" s="8">
        <f>SUM(N6:N8)</f>
        <v>6033</v>
      </c>
      <c r="Q5" s="9" t="s">
        <v>3</v>
      </c>
      <c r="R5" s="126">
        <f>SUM(N6:N8)</f>
        <v>6033</v>
      </c>
      <c r="S5" s="127"/>
      <c r="T5" s="128"/>
      <c r="U5" s="10"/>
    </row>
    <row r="6" spans="1:21" s="11" customFormat="1" ht="36" customHeight="1" x14ac:dyDescent="0.2">
      <c r="A6" s="12">
        <v>1.1000000000000001</v>
      </c>
      <c r="B6" s="13" t="s">
        <v>42</v>
      </c>
      <c r="D6" s="14" t="s">
        <v>0</v>
      </c>
      <c r="E6" s="93">
        <v>309</v>
      </c>
      <c r="F6" s="16" t="s">
        <v>9</v>
      </c>
      <c r="G6" s="16">
        <v>8</v>
      </c>
      <c r="H6" s="17" t="s">
        <v>14</v>
      </c>
      <c r="I6" s="16" t="s">
        <v>1</v>
      </c>
      <c r="K6" s="16"/>
      <c r="L6" s="16"/>
      <c r="M6" s="14" t="s">
        <v>8</v>
      </c>
      <c r="N6" s="15">
        <f>E6*G6</f>
        <v>2472</v>
      </c>
      <c r="O6" s="18" t="s">
        <v>3</v>
      </c>
      <c r="P6" s="19"/>
      <c r="Q6" s="20"/>
      <c r="R6" s="21"/>
      <c r="S6" s="22"/>
      <c r="T6" s="23"/>
      <c r="U6" s="110" t="s">
        <v>54</v>
      </c>
    </row>
    <row r="7" spans="1:21" s="11" customFormat="1" ht="36" customHeight="1" x14ac:dyDescent="0.2">
      <c r="A7" s="12">
        <v>1.2</v>
      </c>
      <c r="B7" s="13" t="s">
        <v>43</v>
      </c>
      <c r="D7" s="14" t="s">
        <v>0</v>
      </c>
      <c r="E7" s="93">
        <v>309</v>
      </c>
      <c r="F7" s="16" t="s">
        <v>9</v>
      </c>
      <c r="G7" s="16">
        <v>7</v>
      </c>
      <c r="H7" s="17" t="s">
        <v>14</v>
      </c>
      <c r="I7" s="16" t="s">
        <v>1</v>
      </c>
      <c r="K7" s="16"/>
      <c r="L7" s="16"/>
      <c r="M7" s="14" t="s">
        <v>8</v>
      </c>
      <c r="N7" s="15">
        <f t="shared" ref="N7:N8" si="0">E7*G7</f>
        <v>2163</v>
      </c>
      <c r="O7" s="18" t="s">
        <v>3</v>
      </c>
      <c r="P7" s="19"/>
      <c r="Q7" s="20"/>
      <c r="R7" s="21"/>
      <c r="S7" s="22"/>
      <c r="T7" s="23"/>
      <c r="U7" s="110"/>
    </row>
    <row r="8" spans="1:21" s="11" customFormat="1" ht="36" customHeight="1" x14ac:dyDescent="0.2">
      <c r="A8" s="24">
        <v>1.3</v>
      </c>
      <c r="B8" s="25" t="s">
        <v>13</v>
      </c>
      <c r="C8" s="26"/>
      <c r="D8" s="27" t="s">
        <v>0</v>
      </c>
      <c r="E8" s="94">
        <v>699</v>
      </c>
      <c r="F8" s="29" t="s">
        <v>9</v>
      </c>
      <c r="G8" s="29">
        <v>2</v>
      </c>
      <c r="H8" s="30" t="s">
        <v>15</v>
      </c>
      <c r="I8" s="29" t="s">
        <v>1</v>
      </c>
      <c r="J8" s="26"/>
      <c r="K8" s="29"/>
      <c r="L8" s="29"/>
      <c r="M8" s="27" t="s">
        <v>8</v>
      </c>
      <c r="N8" s="28">
        <f t="shared" si="0"/>
        <v>1398</v>
      </c>
      <c r="O8" s="31" t="s">
        <v>3</v>
      </c>
      <c r="P8" s="32"/>
      <c r="Q8" s="33"/>
      <c r="R8" s="34"/>
      <c r="S8" s="35"/>
      <c r="T8" s="36"/>
      <c r="U8" s="37" t="s">
        <v>56</v>
      </c>
    </row>
    <row r="9" spans="1:21" s="11" customFormat="1" ht="36" x14ac:dyDescent="0.2">
      <c r="A9" s="38">
        <v>2</v>
      </c>
      <c r="B9" s="136" t="s">
        <v>16</v>
      </c>
      <c r="C9" s="137"/>
      <c r="D9" s="137"/>
      <c r="E9" s="137"/>
      <c r="F9" s="39"/>
      <c r="G9" s="39"/>
      <c r="H9" s="40"/>
      <c r="I9" s="39"/>
      <c r="J9" s="41"/>
      <c r="K9" s="39"/>
      <c r="L9" s="39"/>
      <c r="M9" s="7"/>
      <c r="N9" s="42"/>
      <c r="O9" s="43"/>
      <c r="P9" s="8">
        <f>SUM(N10:N11)</f>
        <v>2735</v>
      </c>
      <c r="Q9" s="9" t="s">
        <v>3</v>
      </c>
      <c r="R9" s="141">
        <f>SUM(N10:N11)</f>
        <v>2735</v>
      </c>
      <c r="S9" s="142"/>
      <c r="T9" s="143"/>
      <c r="U9" s="10"/>
    </row>
    <row r="10" spans="1:21" s="11" customFormat="1" ht="33" customHeight="1" x14ac:dyDescent="0.2">
      <c r="A10" s="12">
        <v>2.1</v>
      </c>
      <c r="B10" s="44" t="s">
        <v>17</v>
      </c>
      <c r="D10" s="14" t="s">
        <v>0</v>
      </c>
      <c r="E10" s="93">
        <v>1790</v>
      </c>
      <c r="F10" s="16" t="s">
        <v>9</v>
      </c>
      <c r="G10" s="16">
        <v>1</v>
      </c>
      <c r="H10" s="44" t="s">
        <v>18</v>
      </c>
      <c r="I10" s="16" t="s">
        <v>1</v>
      </c>
      <c r="K10" s="16"/>
      <c r="L10" s="16"/>
      <c r="M10" s="14" t="s">
        <v>8</v>
      </c>
      <c r="N10" s="15">
        <f>E10*G10</f>
        <v>1790</v>
      </c>
      <c r="O10" s="18" t="s">
        <v>3</v>
      </c>
      <c r="P10" s="19"/>
      <c r="Q10" s="20"/>
      <c r="R10" s="21"/>
      <c r="S10" s="22"/>
      <c r="T10" s="23"/>
      <c r="U10" s="112" t="s">
        <v>53</v>
      </c>
    </row>
    <row r="11" spans="1:21" s="11" customFormat="1" ht="33" customHeight="1" x14ac:dyDescent="0.2">
      <c r="A11" s="24">
        <v>2.2000000000000002</v>
      </c>
      <c r="B11" s="45" t="s">
        <v>17</v>
      </c>
      <c r="C11" s="26"/>
      <c r="D11" s="27" t="s">
        <v>0</v>
      </c>
      <c r="E11" s="94">
        <v>189</v>
      </c>
      <c r="F11" s="29" t="s">
        <v>9</v>
      </c>
      <c r="G11" s="29">
        <v>5</v>
      </c>
      <c r="H11" s="45" t="s">
        <v>19</v>
      </c>
      <c r="I11" s="29" t="s">
        <v>1</v>
      </c>
      <c r="J11" s="26"/>
      <c r="K11" s="29"/>
      <c r="L11" s="29"/>
      <c r="M11" s="27" t="s">
        <v>8</v>
      </c>
      <c r="N11" s="28">
        <f t="shared" ref="N11" si="1">E11*G11</f>
        <v>945</v>
      </c>
      <c r="O11" s="31" t="s">
        <v>3</v>
      </c>
      <c r="P11" s="32"/>
      <c r="Q11" s="33"/>
      <c r="R11" s="34"/>
      <c r="S11" s="35"/>
      <c r="T11" s="36"/>
      <c r="U11" s="113"/>
    </row>
    <row r="12" spans="1:21" s="11" customFormat="1" ht="33" customHeight="1" x14ac:dyDescent="0.2">
      <c r="A12" s="38">
        <v>3</v>
      </c>
      <c r="B12" s="114" t="s">
        <v>20</v>
      </c>
      <c r="C12" s="115"/>
      <c r="D12" s="115"/>
      <c r="E12" s="115"/>
      <c r="F12" s="115"/>
      <c r="G12" s="39"/>
      <c r="H12" s="40"/>
      <c r="I12" s="39"/>
      <c r="J12" s="41"/>
      <c r="K12" s="39"/>
      <c r="L12" s="39"/>
      <c r="M12" s="7"/>
      <c r="N12" s="46"/>
      <c r="O12" s="43"/>
      <c r="P12" s="8">
        <f>SUM(N13)</f>
        <v>3210</v>
      </c>
      <c r="Q12" s="9" t="s">
        <v>3</v>
      </c>
      <c r="R12" s="141">
        <f>N13</f>
        <v>3210</v>
      </c>
      <c r="S12" s="142"/>
      <c r="T12" s="143"/>
      <c r="U12" s="10"/>
    </row>
    <row r="13" spans="1:21" s="11" customFormat="1" ht="34.5" customHeight="1" x14ac:dyDescent="0.2">
      <c r="A13" s="24">
        <v>3.1</v>
      </c>
      <c r="B13" s="45" t="s">
        <v>21</v>
      </c>
      <c r="C13" s="26"/>
      <c r="D13" s="27" t="s">
        <v>0</v>
      </c>
      <c r="E13" s="94">
        <v>3210</v>
      </c>
      <c r="F13" s="29" t="s">
        <v>9</v>
      </c>
      <c r="G13" s="29">
        <v>1</v>
      </c>
      <c r="H13" s="45" t="s">
        <v>14</v>
      </c>
      <c r="I13" s="29" t="s">
        <v>1</v>
      </c>
      <c r="J13" s="26"/>
      <c r="K13" s="29"/>
      <c r="L13" s="29"/>
      <c r="M13" s="27" t="s">
        <v>8</v>
      </c>
      <c r="N13" s="28">
        <v>3210</v>
      </c>
      <c r="O13" s="31" t="s">
        <v>3</v>
      </c>
      <c r="P13" s="32"/>
      <c r="Q13" s="33"/>
      <c r="R13" s="34"/>
      <c r="S13" s="35"/>
      <c r="T13" s="36"/>
      <c r="U13" s="37" t="s">
        <v>57</v>
      </c>
    </row>
    <row r="14" spans="1:21" s="11" customFormat="1" ht="39" customHeight="1" x14ac:dyDescent="0.2">
      <c r="A14" s="47">
        <v>4</v>
      </c>
      <c r="B14" s="114" t="s">
        <v>22</v>
      </c>
      <c r="C14" s="115"/>
      <c r="D14" s="115"/>
      <c r="E14" s="115"/>
      <c r="F14" s="115"/>
      <c r="G14" s="115"/>
      <c r="H14" s="115"/>
      <c r="I14" s="39"/>
      <c r="J14" s="41"/>
      <c r="K14" s="39"/>
      <c r="L14" s="39"/>
      <c r="M14" s="7"/>
      <c r="N14" s="46"/>
      <c r="O14" s="43"/>
      <c r="P14" s="8">
        <f>SUM(N15:N16)</f>
        <v>9720</v>
      </c>
      <c r="Q14" s="9" t="s">
        <v>3</v>
      </c>
      <c r="R14" s="141">
        <f>SUM(N15:N16)</f>
        <v>9720</v>
      </c>
      <c r="S14" s="142"/>
      <c r="T14" s="143"/>
      <c r="U14" s="10"/>
    </row>
    <row r="15" spans="1:21" s="11" customFormat="1" ht="34.5" customHeight="1" x14ac:dyDescent="0.2">
      <c r="A15" s="12">
        <v>4.0999999999999996</v>
      </c>
      <c r="B15" s="17" t="s">
        <v>44</v>
      </c>
      <c r="C15" s="49"/>
      <c r="D15" s="14" t="s">
        <v>0</v>
      </c>
      <c r="E15" s="93">
        <v>120</v>
      </c>
      <c r="F15" s="16" t="s">
        <v>9</v>
      </c>
      <c r="G15" s="16">
        <v>16</v>
      </c>
      <c r="H15" s="44" t="s">
        <v>10</v>
      </c>
      <c r="I15" s="16" t="s">
        <v>1</v>
      </c>
      <c r="K15" s="16"/>
      <c r="L15" s="16"/>
      <c r="M15" s="14" t="s">
        <v>8</v>
      </c>
      <c r="N15" s="50">
        <f>E15*G15</f>
        <v>1920</v>
      </c>
      <c r="O15" s="18" t="s">
        <v>3</v>
      </c>
      <c r="P15" s="19"/>
      <c r="Q15" s="20"/>
      <c r="R15" s="21"/>
      <c r="S15" s="22"/>
      <c r="T15" s="23"/>
      <c r="U15" s="110" t="s">
        <v>53</v>
      </c>
    </row>
    <row r="16" spans="1:21" s="11" customFormat="1" ht="34.5" customHeight="1" x14ac:dyDescent="0.2">
      <c r="A16" s="24">
        <v>4.2</v>
      </c>
      <c r="B16" s="138" t="s">
        <v>23</v>
      </c>
      <c r="C16" s="138"/>
      <c r="D16" s="27" t="s">
        <v>0</v>
      </c>
      <c r="E16" s="94">
        <v>650</v>
      </c>
      <c r="F16" s="29" t="s">
        <v>9</v>
      </c>
      <c r="G16" s="29">
        <v>12</v>
      </c>
      <c r="H16" s="45" t="s">
        <v>40</v>
      </c>
      <c r="I16" s="29" t="s">
        <v>1</v>
      </c>
      <c r="J16" s="26"/>
      <c r="K16" s="29"/>
      <c r="L16" s="29"/>
      <c r="M16" s="27" t="s">
        <v>8</v>
      </c>
      <c r="N16" s="28">
        <f t="shared" ref="N16" si="2">E16*G16</f>
        <v>7800</v>
      </c>
      <c r="O16" s="31" t="s">
        <v>3</v>
      </c>
      <c r="P16" s="32"/>
      <c r="Q16" s="33"/>
      <c r="R16" s="34"/>
      <c r="S16" s="35"/>
      <c r="T16" s="36"/>
      <c r="U16" s="111"/>
    </row>
    <row r="17" spans="1:23" s="11" customFormat="1" ht="36" x14ac:dyDescent="0.2">
      <c r="A17" s="51">
        <v>5</v>
      </c>
      <c r="B17" s="137" t="s">
        <v>24</v>
      </c>
      <c r="C17" s="137"/>
      <c r="D17" s="137"/>
      <c r="E17" s="137"/>
      <c r="F17" s="137"/>
      <c r="G17" s="137"/>
      <c r="H17" s="137"/>
      <c r="I17" s="39"/>
      <c r="J17" s="41"/>
      <c r="K17" s="39"/>
      <c r="L17" s="39"/>
      <c r="M17" s="7"/>
      <c r="N17" s="46"/>
      <c r="O17" s="43"/>
      <c r="P17" s="8">
        <f>SUM(N18:N22)</f>
        <v>2413</v>
      </c>
      <c r="Q17" s="9" t="s">
        <v>3</v>
      </c>
      <c r="R17" s="141">
        <f>SUM(N18:N22)</f>
        <v>2413</v>
      </c>
      <c r="S17" s="142"/>
      <c r="T17" s="143"/>
      <c r="U17" s="10"/>
    </row>
    <row r="18" spans="1:23" s="11" customFormat="1" ht="72.75" customHeight="1" x14ac:dyDescent="0.2">
      <c r="A18" s="12">
        <v>5.0999999999999996</v>
      </c>
      <c r="B18" s="44" t="s">
        <v>25</v>
      </c>
      <c r="D18" s="14" t="s">
        <v>0</v>
      </c>
      <c r="E18" s="93">
        <v>116</v>
      </c>
      <c r="F18" s="16" t="s">
        <v>9</v>
      </c>
      <c r="G18" s="16">
        <v>4</v>
      </c>
      <c r="H18" s="17" t="s">
        <v>28</v>
      </c>
      <c r="I18" s="16" t="s">
        <v>1</v>
      </c>
      <c r="K18" s="16"/>
      <c r="L18" s="16"/>
      <c r="M18" s="14" t="s">
        <v>8</v>
      </c>
      <c r="N18" s="50">
        <f>E18*G18</f>
        <v>464</v>
      </c>
      <c r="O18" s="18" t="s">
        <v>3</v>
      </c>
      <c r="P18" s="19"/>
      <c r="Q18" s="20"/>
      <c r="R18" s="21"/>
      <c r="S18" s="22"/>
      <c r="T18" s="23"/>
      <c r="U18" s="10" t="s">
        <v>58</v>
      </c>
    </row>
    <row r="19" spans="1:23" s="11" customFormat="1" ht="36" customHeight="1" x14ac:dyDescent="0.2">
      <c r="A19" s="12">
        <v>5.2</v>
      </c>
      <c r="B19" s="44" t="s">
        <v>26</v>
      </c>
      <c r="D19" s="14" t="s">
        <v>0</v>
      </c>
      <c r="E19" s="93">
        <v>535</v>
      </c>
      <c r="F19" s="16" t="s">
        <v>9</v>
      </c>
      <c r="G19" s="16">
        <v>1</v>
      </c>
      <c r="H19" s="17" t="s">
        <v>29</v>
      </c>
      <c r="I19" s="16" t="s">
        <v>1</v>
      </c>
      <c r="K19" s="16"/>
      <c r="L19" s="16"/>
      <c r="M19" s="14" t="s">
        <v>8</v>
      </c>
      <c r="N19" s="50">
        <f t="shared" ref="N19:N22" si="3">E19*G19</f>
        <v>535</v>
      </c>
      <c r="O19" s="18" t="s">
        <v>3</v>
      </c>
      <c r="P19" s="19"/>
      <c r="Q19" s="20"/>
      <c r="R19" s="21"/>
      <c r="S19" s="22"/>
      <c r="T19" s="23"/>
      <c r="U19" s="10" t="s">
        <v>52</v>
      </c>
    </row>
    <row r="20" spans="1:23" s="11" customFormat="1" ht="72" x14ac:dyDescent="0.2">
      <c r="A20" s="12">
        <v>5.3</v>
      </c>
      <c r="B20" s="44" t="s">
        <v>45</v>
      </c>
      <c r="D20" s="14" t="s">
        <v>0</v>
      </c>
      <c r="E20" s="93">
        <v>187</v>
      </c>
      <c r="F20" s="16" t="s">
        <v>9</v>
      </c>
      <c r="G20" s="16">
        <v>1</v>
      </c>
      <c r="H20" s="17" t="s">
        <v>28</v>
      </c>
      <c r="I20" s="16" t="s">
        <v>1</v>
      </c>
      <c r="K20" s="16"/>
      <c r="L20" s="16"/>
      <c r="M20" s="14" t="s">
        <v>8</v>
      </c>
      <c r="N20" s="50">
        <f t="shared" si="3"/>
        <v>187</v>
      </c>
      <c r="O20" s="18" t="s">
        <v>3</v>
      </c>
      <c r="P20" s="19"/>
      <c r="Q20" s="20"/>
      <c r="R20" s="21"/>
      <c r="S20" s="22"/>
      <c r="T20" s="23"/>
      <c r="U20" s="10" t="s">
        <v>59</v>
      </c>
    </row>
    <row r="21" spans="1:23" s="11" customFormat="1" ht="42" customHeight="1" x14ac:dyDescent="0.2">
      <c r="A21" s="12">
        <v>5.4</v>
      </c>
      <c r="B21" s="44" t="s">
        <v>46</v>
      </c>
      <c r="D21" s="14" t="s">
        <v>0</v>
      </c>
      <c r="E21" s="93">
        <v>792</v>
      </c>
      <c r="F21" s="16" t="s">
        <v>9</v>
      </c>
      <c r="G21" s="16">
        <v>1</v>
      </c>
      <c r="H21" s="17" t="s">
        <v>18</v>
      </c>
      <c r="I21" s="16" t="s">
        <v>1</v>
      </c>
      <c r="K21" s="16"/>
      <c r="L21" s="16"/>
      <c r="M21" s="14" t="s">
        <v>8</v>
      </c>
      <c r="N21" s="50">
        <f t="shared" si="3"/>
        <v>792</v>
      </c>
      <c r="O21" s="18" t="s">
        <v>3</v>
      </c>
      <c r="P21" s="19"/>
      <c r="Q21" s="20"/>
      <c r="R21" s="21"/>
      <c r="S21" s="22"/>
      <c r="T21" s="23"/>
      <c r="U21" s="10" t="s">
        <v>61</v>
      </c>
    </row>
    <row r="22" spans="1:23" s="11" customFormat="1" ht="72" x14ac:dyDescent="0.2">
      <c r="A22" s="24">
        <v>5.5</v>
      </c>
      <c r="B22" s="45" t="s">
        <v>27</v>
      </c>
      <c r="C22" s="26"/>
      <c r="D22" s="27" t="s">
        <v>0</v>
      </c>
      <c r="E22" s="94">
        <v>29</v>
      </c>
      <c r="F22" s="29" t="s">
        <v>9</v>
      </c>
      <c r="G22" s="29">
        <v>15</v>
      </c>
      <c r="H22" s="30" t="s">
        <v>30</v>
      </c>
      <c r="I22" s="29" t="s">
        <v>1</v>
      </c>
      <c r="J22" s="26"/>
      <c r="K22" s="29"/>
      <c r="L22" s="29"/>
      <c r="M22" s="27" t="s">
        <v>8</v>
      </c>
      <c r="N22" s="28">
        <f t="shared" si="3"/>
        <v>435</v>
      </c>
      <c r="O22" s="31" t="s">
        <v>3</v>
      </c>
      <c r="P22" s="32"/>
      <c r="Q22" s="33"/>
      <c r="R22" s="34"/>
      <c r="S22" s="35"/>
      <c r="T22" s="36"/>
      <c r="U22" s="101" t="s">
        <v>59</v>
      </c>
    </row>
    <row r="23" spans="1:23" s="11" customFormat="1" ht="36" customHeight="1" x14ac:dyDescent="0.2">
      <c r="A23" s="38">
        <v>6</v>
      </c>
      <c r="B23" s="48" t="s">
        <v>31</v>
      </c>
      <c r="C23" s="41"/>
      <c r="D23" s="7"/>
      <c r="E23" s="95"/>
      <c r="F23" s="39"/>
      <c r="G23" s="39"/>
      <c r="H23" s="59"/>
      <c r="I23" s="39"/>
      <c r="J23" s="41"/>
      <c r="K23" s="39"/>
      <c r="L23" s="39"/>
      <c r="M23" s="7"/>
      <c r="N23" s="46"/>
      <c r="O23" s="43"/>
      <c r="P23" s="8">
        <f>SUM(N24:N25)-900</f>
        <v>900</v>
      </c>
      <c r="Q23" s="9" t="s">
        <v>3</v>
      </c>
      <c r="R23" s="141">
        <f>SUM(N24:N25)-E26</f>
        <v>900</v>
      </c>
      <c r="S23" s="142"/>
      <c r="T23" s="143"/>
      <c r="U23" s="60"/>
    </row>
    <row r="24" spans="1:23" s="11" customFormat="1" ht="40.5" customHeight="1" x14ac:dyDescent="0.2">
      <c r="A24" s="12">
        <v>6.1</v>
      </c>
      <c r="B24" s="13" t="s">
        <v>34</v>
      </c>
      <c r="D24" s="14" t="s">
        <v>0</v>
      </c>
      <c r="E24" s="93">
        <v>450</v>
      </c>
      <c r="F24" s="16" t="s">
        <v>9</v>
      </c>
      <c r="G24" s="16">
        <v>2</v>
      </c>
      <c r="H24" s="17" t="s">
        <v>19</v>
      </c>
      <c r="I24" s="16" t="s">
        <v>1</v>
      </c>
      <c r="K24" s="16"/>
      <c r="L24" s="16"/>
      <c r="M24" s="14" t="s">
        <v>8</v>
      </c>
      <c r="N24" s="50">
        <f t="shared" ref="N24:N25" si="4">E24*G24</f>
        <v>900</v>
      </c>
      <c r="O24" s="18" t="s">
        <v>3</v>
      </c>
      <c r="P24" s="19"/>
      <c r="Q24" s="20"/>
      <c r="R24" s="21"/>
      <c r="S24" s="22"/>
      <c r="T24" s="23"/>
      <c r="U24" s="110" t="s">
        <v>55</v>
      </c>
      <c r="W24" s="61"/>
    </row>
    <row r="25" spans="1:23" s="11" customFormat="1" ht="36" x14ac:dyDescent="0.2">
      <c r="A25" s="12">
        <v>6.2</v>
      </c>
      <c r="B25" s="13" t="s">
        <v>34</v>
      </c>
      <c r="C25" s="44"/>
      <c r="D25" s="14" t="s">
        <v>0</v>
      </c>
      <c r="E25" s="93">
        <v>450</v>
      </c>
      <c r="F25" s="16" t="s">
        <v>9</v>
      </c>
      <c r="G25" s="16">
        <v>2</v>
      </c>
      <c r="H25" s="17" t="s">
        <v>19</v>
      </c>
      <c r="I25" s="16" t="s">
        <v>1</v>
      </c>
      <c r="K25" s="16"/>
      <c r="L25" s="16"/>
      <c r="M25" s="14" t="s">
        <v>8</v>
      </c>
      <c r="N25" s="50">
        <f t="shared" si="4"/>
        <v>900</v>
      </c>
      <c r="O25" s="18" t="s">
        <v>3</v>
      </c>
      <c r="P25" s="19"/>
      <c r="Q25" s="20"/>
      <c r="R25" s="21"/>
      <c r="S25" s="22"/>
      <c r="T25" s="23"/>
      <c r="U25" s="110"/>
    </row>
    <row r="26" spans="1:23" s="11" customFormat="1" ht="31.5" customHeight="1" x14ac:dyDescent="0.2">
      <c r="A26" s="24"/>
      <c r="B26" s="120" t="s">
        <v>35</v>
      </c>
      <c r="C26" s="121"/>
      <c r="D26" s="62"/>
      <c r="E26" s="97">
        <v>900</v>
      </c>
      <c r="F26" s="63" t="s">
        <v>3</v>
      </c>
      <c r="G26" s="29"/>
      <c r="H26" s="30"/>
      <c r="I26" s="29"/>
      <c r="J26" s="26"/>
      <c r="K26" s="29"/>
      <c r="L26" s="29"/>
      <c r="M26" s="27"/>
      <c r="N26" s="28"/>
      <c r="O26" s="31"/>
      <c r="P26" s="32"/>
      <c r="Q26" s="33"/>
      <c r="R26" s="34"/>
      <c r="S26" s="35"/>
      <c r="T26" s="36"/>
      <c r="U26" s="111"/>
    </row>
    <row r="27" spans="1:23" s="11" customFormat="1" ht="36" x14ac:dyDescent="0.2">
      <c r="A27" s="47">
        <v>7</v>
      </c>
      <c r="B27" s="48" t="s">
        <v>31</v>
      </c>
      <c r="C27" s="41"/>
      <c r="D27" s="7"/>
      <c r="E27" s="95"/>
      <c r="F27" s="39"/>
      <c r="G27" s="39"/>
      <c r="H27" s="40"/>
      <c r="I27" s="39"/>
      <c r="J27" s="41"/>
      <c r="K27" s="39"/>
      <c r="L27" s="39"/>
      <c r="M27" s="7"/>
      <c r="N27" s="46"/>
      <c r="O27" s="43"/>
      <c r="P27" s="8">
        <f>SUM(N28:N40)-E41</f>
        <v>7200</v>
      </c>
      <c r="Q27" s="9" t="s">
        <v>3</v>
      </c>
      <c r="R27" s="141">
        <f>SUM(N28:N40)-E41</f>
        <v>7200</v>
      </c>
      <c r="S27" s="142"/>
      <c r="T27" s="143"/>
      <c r="U27" s="10"/>
    </row>
    <row r="28" spans="1:23" s="11" customFormat="1" ht="31.5" customHeight="1" x14ac:dyDescent="0.2">
      <c r="A28" s="12">
        <v>7.1</v>
      </c>
      <c r="B28" s="13" t="s">
        <v>32</v>
      </c>
      <c r="D28" s="14" t="s">
        <v>0</v>
      </c>
      <c r="E28" s="93">
        <v>450</v>
      </c>
      <c r="F28" s="16" t="s">
        <v>9</v>
      </c>
      <c r="G28" s="16">
        <v>2</v>
      </c>
      <c r="H28" s="17" t="s">
        <v>41</v>
      </c>
      <c r="I28" s="16" t="s">
        <v>1</v>
      </c>
      <c r="K28" s="16"/>
      <c r="L28" s="16"/>
      <c r="M28" s="14" t="s">
        <v>8</v>
      </c>
      <c r="N28" s="50">
        <v>900</v>
      </c>
      <c r="O28" s="18" t="s">
        <v>3</v>
      </c>
      <c r="P28" s="19"/>
      <c r="Q28" s="20"/>
      <c r="R28" s="21"/>
      <c r="S28" s="22"/>
      <c r="T28" s="23"/>
      <c r="U28" s="110" t="s">
        <v>51</v>
      </c>
    </row>
    <row r="29" spans="1:23" s="11" customFormat="1" ht="31.5" customHeight="1" x14ac:dyDescent="0.2">
      <c r="A29" s="12">
        <v>7.2</v>
      </c>
      <c r="B29" s="13" t="s">
        <v>33</v>
      </c>
      <c r="D29" s="14" t="s">
        <v>0</v>
      </c>
      <c r="E29" s="93">
        <v>450</v>
      </c>
      <c r="F29" s="16" t="s">
        <v>9</v>
      </c>
      <c r="G29" s="16">
        <v>2</v>
      </c>
      <c r="H29" s="17" t="s">
        <v>41</v>
      </c>
      <c r="I29" s="16" t="s">
        <v>1</v>
      </c>
      <c r="K29" s="16"/>
      <c r="L29" s="16"/>
      <c r="M29" s="14" t="s">
        <v>8</v>
      </c>
      <c r="N29" s="50">
        <v>900</v>
      </c>
      <c r="O29" s="18" t="s">
        <v>3</v>
      </c>
      <c r="P29" s="19"/>
      <c r="Q29" s="20"/>
      <c r="R29" s="21"/>
      <c r="S29" s="22"/>
      <c r="T29" s="23"/>
      <c r="U29" s="110"/>
    </row>
    <row r="30" spans="1:23" s="11" customFormat="1" ht="31.5" customHeight="1" x14ac:dyDescent="0.2">
      <c r="A30" s="12">
        <v>7.3</v>
      </c>
      <c r="B30" s="13" t="s">
        <v>34</v>
      </c>
      <c r="C30" s="49"/>
      <c r="D30" s="14" t="s">
        <v>0</v>
      </c>
      <c r="E30" s="93">
        <v>450</v>
      </c>
      <c r="F30" s="16" t="s">
        <v>9</v>
      </c>
      <c r="G30" s="16">
        <v>4</v>
      </c>
      <c r="H30" s="17" t="s">
        <v>19</v>
      </c>
      <c r="I30" s="16" t="s">
        <v>1</v>
      </c>
      <c r="K30" s="16"/>
      <c r="L30" s="16"/>
      <c r="M30" s="14" t="s">
        <v>8</v>
      </c>
      <c r="N30" s="50">
        <v>1800</v>
      </c>
      <c r="O30" s="18" t="s">
        <v>3</v>
      </c>
      <c r="P30" s="19"/>
      <c r="Q30" s="20"/>
      <c r="R30" s="21"/>
      <c r="S30" s="22"/>
      <c r="T30" s="23"/>
      <c r="U30" s="110"/>
    </row>
    <row r="31" spans="1:23" s="11" customFormat="1" ht="31.5" customHeight="1" x14ac:dyDescent="0.2">
      <c r="A31" s="12">
        <v>7.4</v>
      </c>
      <c r="B31" s="52" t="s">
        <v>32</v>
      </c>
      <c r="C31" s="49"/>
      <c r="D31" s="14" t="s">
        <v>0</v>
      </c>
      <c r="E31" s="93">
        <v>450</v>
      </c>
      <c r="F31" s="16" t="s">
        <v>9</v>
      </c>
      <c r="G31" s="16">
        <v>2</v>
      </c>
      <c r="H31" s="17" t="s">
        <v>41</v>
      </c>
      <c r="I31" s="16" t="s">
        <v>1</v>
      </c>
      <c r="K31" s="16"/>
      <c r="L31" s="16"/>
      <c r="M31" s="14" t="s">
        <v>8</v>
      </c>
      <c r="N31" s="50">
        <f t="shared" ref="N31:N36" si="5">E31*G31</f>
        <v>900</v>
      </c>
      <c r="O31" s="18" t="s">
        <v>3</v>
      </c>
      <c r="P31" s="19"/>
      <c r="Q31" s="20"/>
      <c r="R31" s="21"/>
      <c r="S31" s="22"/>
      <c r="T31" s="23"/>
      <c r="U31" s="110"/>
    </row>
    <row r="32" spans="1:23" s="11" customFormat="1" ht="31.5" customHeight="1" x14ac:dyDescent="0.2">
      <c r="A32" s="12">
        <v>7.5</v>
      </c>
      <c r="B32" s="52" t="s">
        <v>32</v>
      </c>
      <c r="C32" s="49"/>
      <c r="D32" s="14" t="s">
        <v>0</v>
      </c>
      <c r="E32" s="93">
        <v>450</v>
      </c>
      <c r="F32" s="16" t="s">
        <v>9</v>
      </c>
      <c r="G32" s="16">
        <v>2</v>
      </c>
      <c r="H32" s="17" t="s">
        <v>41</v>
      </c>
      <c r="I32" s="16" t="s">
        <v>1</v>
      </c>
      <c r="K32" s="16"/>
      <c r="L32" s="16"/>
      <c r="M32" s="14" t="s">
        <v>8</v>
      </c>
      <c r="N32" s="50">
        <f t="shared" si="5"/>
        <v>900</v>
      </c>
      <c r="O32" s="18" t="s">
        <v>3</v>
      </c>
      <c r="P32" s="19"/>
      <c r="Q32" s="20"/>
      <c r="R32" s="21"/>
      <c r="S32" s="22"/>
      <c r="T32" s="23"/>
      <c r="U32" s="110"/>
    </row>
    <row r="33" spans="1:21" s="11" customFormat="1" ht="31.5" customHeight="1" x14ac:dyDescent="0.2">
      <c r="A33" s="12">
        <v>7.6</v>
      </c>
      <c r="B33" s="52" t="s">
        <v>32</v>
      </c>
      <c r="C33" s="49"/>
      <c r="D33" s="14" t="s">
        <v>0</v>
      </c>
      <c r="E33" s="93">
        <v>450</v>
      </c>
      <c r="F33" s="16" t="s">
        <v>9</v>
      </c>
      <c r="G33" s="16">
        <v>1</v>
      </c>
      <c r="H33" s="17" t="s">
        <v>41</v>
      </c>
      <c r="I33" s="16" t="s">
        <v>1</v>
      </c>
      <c r="K33" s="16"/>
      <c r="L33" s="16"/>
      <c r="M33" s="14" t="s">
        <v>8</v>
      </c>
      <c r="N33" s="50">
        <f t="shared" si="5"/>
        <v>450</v>
      </c>
      <c r="O33" s="18" t="s">
        <v>3</v>
      </c>
      <c r="P33" s="19"/>
      <c r="Q33" s="20"/>
      <c r="R33" s="21"/>
      <c r="S33" s="22"/>
      <c r="T33" s="23"/>
      <c r="U33" s="110"/>
    </row>
    <row r="34" spans="1:21" s="11" customFormat="1" ht="31.5" customHeight="1" x14ac:dyDescent="0.2">
      <c r="A34" s="12">
        <v>7.7</v>
      </c>
      <c r="B34" s="118" t="s">
        <v>33</v>
      </c>
      <c r="C34" s="119"/>
      <c r="D34" s="14" t="s">
        <v>0</v>
      </c>
      <c r="E34" s="93">
        <v>450</v>
      </c>
      <c r="F34" s="16" t="s">
        <v>9</v>
      </c>
      <c r="G34" s="16">
        <v>2</v>
      </c>
      <c r="H34" s="17" t="s">
        <v>41</v>
      </c>
      <c r="I34" s="16" t="s">
        <v>1</v>
      </c>
      <c r="K34" s="16"/>
      <c r="L34" s="16"/>
      <c r="M34" s="14" t="s">
        <v>8</v>
      </c>
      <c r="N34" s="50">
        <f t="shared" si="5"/>
        <v>900</v>
      </c>
      <c r="O34" s="18" t="s">
        <v>3</v>
      </c>
      <c r="P34" s="19"/>
      <c r="Q34" s="20"/>
      <c r="R34" s="21"/>
      <c r="S34" s="22"/>
      <c r="T34" s="23"/>
      <c r="U34" s="110"/>
    </row>
    <row r="35" spans="1:21" s="11" customFormat="1" ht="31.5" customHeight="1" x14ac:dyDescent="0.2">
      <c r="A35" s="12">
        <v>7.8</v>
      </c>
      <c r="B35" s="118" t="s">
        <v>33</v>
      </c>
      <c r="C35" s="119"/>
      <c r="D35" s="14" t="s">
        <v>0</v>
      </c>
      <c r="E35" s="93">
        <v>450</v>
      </c>
      <c r="F35" s="16" t="s">
        <v>9</v>
      </c>
      <c r="G35" s="16">
        <v>2</v>
      </c>
      <c r="H35" s="17" t="s">
        <v>41</v>
      </c>
      <c r="I35" s="16" t="s">
        <v>1</v>
      </c>
      <c r="K35" s="16"/>
      <c r="L35" s="16"/>
      <c r="M35" s="14" t="s">
        <v>8</v>
      </c>
      <c r="N35" s="50">
        <f t="shared" si="5"/>
        <v>900</v>
      </c>
      <c r="O35" s="18" t="s">
        <v>3</v>
      </c>
      <c r="P35" s="19"/>
      <c r="Q35" s="20"/>
      <c r="R35" s="21"/>
      <c r="S35" s="22"/>
      <c r="T35" s="23"/>
      <c r="U35" s="110"/>
    </row>
    <row r="36" spans="1:21" s="11" customFormat="1" ht="31.5" customHeight="1" x14ac:dyDescent="0.2">
      <c r="A36" s="12">
        <v>7.9</v>
      </c>
      <c r="B36" s="52" t="s">
        <v>33</v>
      </c>
      <c r="C36" s="53"/>
      <c r="D36" s="14" t="s">
        <v>0</v>
      </c>
      <c r="E36" s="93">
        <v>450</v>
      </c>
      <c r="F36" s="16" t="s">
        <v>9</v>
      </c>
      <c r="G36" s="16">
        <v>1</v>
      </c>
      <c r="H36" s="17" t="s">
        <v>41</v>
      </c>
      <c r="I36" s="16" t="s">
        <v>1</v>
      </c>
      <c r="K36" s="16"/>
      <c r="L36" s="16"/>
      <c r="M36" s="14" t="s">
        <v>8</v>
      </c>
      <c r="N36" s="50">
        <f t="shared" si="5"/>
        <v>450</v>
      </c>
      <c r="O36" s="18" t="s">
        <v>3</v>
      </c>
      <c r="P36" s="19"/>
      <c r="Q36" s="20"/>
      <c r="R36" s="21"/>
      <c r="S36" s="22"/>
      <c r="T36" s="23"/>
      <c r="U36" s="110"/>
    </row>
    <row r="37" spans="1:21" s="11" customFormat="1" ht="31.5" customHeight="1" x14ac:dyDescent="0.2">
      <c r="A37" s="12">
        <v>7.9</v>
      </c>
      <c r="B37" s="118" t="s">
        <v>34</v>
      </c>
      <c r="C37" s="119"/>
      <c r="D37" s="14" t="s">
        <v>0</v>
      </c>
      <c r="E37" s="93">
        <v>450</v>
      </c>
      <c r="F37" s="16" t="s">
        <v>9</v>
      </c>
      <c r="G37" s="16">
        <v>4</v>
      </c>
      <c r="H37" s="17" t="s">
        <v>19</v>
      </c>
      <c r="I37" s="16" t="s">
        <v>1</v>
      </c>
      <c r="K37" s="16"/>
      <c r="L37" s="16"/>
      <c r="M37" s="14" t="s">
        <v>8</v>
      </c>
      <c r="N37" s="50">
        <f>E37*G37</f>
        <v>1800</v>
      </c>
      <c r="O37" s="18" t="s">
        <v>3</v>
      </c>
      <c r="P37" s="19"/>
      <c r="Q37" s="20"/>
      <c r="R37" s="21"/>
      <c r="S37" s="22"/>
      <c r="T37" s="23"/>
      <c r="U37" s="110"/>
    </row>
    <row r="38" spans="1:21" s="11" customFormat="1" ht="31.5" customHeight="1" x14ac:dyDescent="0.2">
      <c r="A38" s="54">
        <v>7.1</v>
      </c>
      <c r="B38" s="118" t="s">
        <v>34</v>
      </c>
      <c r="C38" s="119"/>
      <c r="D38" s="14" t="s">
        <v>0</v>
      </c>
      <c r="E38" s="93">
        <v>450</v>
      </c>
      <c r="F38" s="16" t="s">
        <v>9</v>
      </c>
      <c r="G38" s="16">
        <v>2</v>
      </c>
      <c r="H38" s="17" t="s">
        <v>19</v>
      </c>
      <c r="I38" s="16" t="s">
        <v>1</v>
      </c>
      <c r="K38" s="16"/>
      <c r="L38" s="16"/>
      <c r="M38" s="14" t="s">
        <v>8</v>
      </c>
      <c r="N38" s="50">
        <f t="shared" ref="N38:N39" si="6">E38*G38</f>
        <v>900</v>
      </c>
      <c r="O38" s="18" t="s">
        <v>3</v>
      </c>
      <c r="P38" s="19"/>
      <c r="Q38" s="20"/>
      <c r="R38" s="21"/>
      <c r="S38" s="22"/>
      <c r="T38" s="23"/>
      <c r="U38" s="110"/>
    </row>
    <row r="39" spans="1:21" s="11" customFormat="1" ht="31.5" customHeight="1" x14ac:dyDescent="0.2">
      <c r="A39" s="54">
        <v>7.11</v>
      </c>
      <c r="B39" s="118" t="s">
        <v>33</v>
      </c>
      <c r="C39" s="119"/>
      <c r="D39" s="14" t="s">
        <v>0</v>
      </c>
      <c r="E39" s="93">
        <v>450</v>
      </c>
      <c r="F39" s="16" t="s">
        <v>9</v>
      </c>
      <c r="G39" s="16">
        <v>4</v>
      </c>
      <c r="H39" s="17" t="s">
        <v>41</v>
      </c>
      <c r="I39" s="16" t="s">
        <v>1</v>
      </c>
      <c r="K39" s="16"/>
      <c r="L39" s="16"/>
      <c r="M39" s="14" t="s">
        <v>8</v>
      </c>
      <c r="N39" s="50">
        <f t="shared" si="6"/>
        <v>1800</v>
      </c>
      <c r="O39" s="18" t="s">
        <v>3</v>
      </c>
      <c r="P39" s="19"/>
      <c r="Q39" s="20"/>
      <c r="R39" s="21"/>
      <c r="S39" s="22"/>
      <c r="T39" s="23"/>
      <c r="U39" s="110"/>
    </row>
    <row r="40" spans="1:21" s="11" customFormat="1" ht="31.5" customHeight="1" x14ac:dyDescent="0.2">
      <c r="A40" s="54">
        <v>7.12</v>
      </c>
      <c r="B40" s="118">
        <v>66755926378</v>
      </c>
      <c r="C40" s="119"/>
      <c r="D40" s="14" t="s">
        <v>0</v>
      </c>
      <c r="E40" s="93">
        <v>450</v>
      </c>
      <c r="F40" s="16" t="s">
        <v>9</v>
      </c>
      <c r="G40" s="16">
        <v>2</v>
      </c>
      <c r="H40" s="17" t="s">
        <v>41</v>
      </c>
      <c r="I40" s="16" t="s">
        <v>1</v>
      </c>
      <c r="K40" s="16"/>
      <c r="L40" s="16"/>
      <c r="M40" s="14" t="s">
        <v>8</v>
      </c>
      <c r="N40" s="50">
        <f>E40*G40</f>
        <v>900</v>
      </c>
      <c r="O40" s="18" t="s">
        <v>3</v>
      </c>
      <c r="P40" s="19"/>
      <c r="Q40" s="20"/>
      <c r="R40" s="21"/>
      <c r="S40" s="22"/>
      <c r="T40" s="23"/>
      <c r="U40" s="110"/>
    </row>
    <row r="41" spans="1:21" s="11" customFormat="1" ht="31.5" customHeight="1" x14ac:dyDescent="0.2">
      <c r="A41" s="55"/>
      <c r="B41" s="139" t="s">
        <v>35</v>
      </c>
      <c r="C41" s="140"/>
      <c r="D41" s="140"/>
      <c r="E41" s="96">
        <v>6300</v>
      </c>
      <c r="F41" s="56" t="s">
        <v>36</v>
      </c>
      <c r="G41" s="26"/>
      <c r="H41" s="57"/>
      <c r="I41" s="26"/>
      <c r="J41" s="26"/>
      <c r="K41" s="26"/>
      <c r="L41" s="26"/>
      <c r="M41" s="26"/>
      <c r="N41" s="58"/>
      <c r="O41" s="26"/>
      <c r="P41" s="32"/>
      <c r="Q41" s="33"/>
      <c r="R41" s="34"/>
      <c r="S41" s="35"/>
      <c r="T41" s="36"/>
      <c r="U41" s="111"/>
    </row>
    <row r="42" spans="1:21" s="11" customFormat="1" ht="36" x14ac:dyDescent="0.2">
      <c r="A42" s="38">
        <v>8</v>
      </c>
      <c r="B42" s="91" t="s">
        <v>37</v>
      </c>
      <c r="C42" s="92"/>
      <c r="D42" s="7"/>
      <c r="E42" s="95"/>
      <c r="F42" s="39"/>
      <c r="G42" s="39"/>
      <c r="H42" s="59"/>
      <c r="I42" s="39"/>
      <c r="J42" s="41"/>
      <c r="K42" s="39"/>
      <c r="L42" s="39"/>
      <c r="M42" s="7"/>
      <c r="N42" s="42"/>
      <c r="O42" s="43"/>
      <c r="P42" s="8">
        <f>N43</f>
        <v>1189.95</v>
      </c>
      <c r="Q42" s="9" t="s">
        <v>3</v>
      </c>
      <c r="R42" s="141">
        <f>N43</f>
        <v>1189.95</v>
      </c>
      <c r="S42" s="142"/>
      <c r="T42" s="143"/>
      <c r="U42" s="10"/>
    </row>
    <row r="43" spans="1:21" s="11" customFormat="1" ht="42" customHeight="1" x14ac:dyDescent="0.2">
      <c r="A43" s="24">
        <v>8.1</v>
      </c>
      <c r="B43" s="116" t="s">
        <v>49</v>
      </c>
      <c r="C43" s="117"/>
      <c r="D43" s="27" t="s">
        <v>0</v>
      </c>
      <c r="E43" s="94">
        <v>118.995</v>
      </c>
      <c r="F43" s="29" t="s">
        <v>9</v>
      </c>
      <c r="G43" s="29">
        <v>10</v>
      </c>
      <c r="H43" s="30" t="s">
        <v>38</v>
      </c>
      <c r="I43" s="29" t="s">
        <v>1</v>
      </c>
      <c r="J43" s="26"/>
      <c r="K43" s="29"/>
      <c r="L43" s="29"/>
      <c r="M43" s="27" t="s">
        <v>8</v>
      </c>
      <c r="N43" s="28">
        <f>E43*G43</f>
        <v>1189.95</v>
      </c>
      <c r="O43" s="31" t="s">
        <v>3</v>
      </c>
      <c r="P43" s="32"/>
      <c r="Q43" s="33"/>
      <c r="R43" s="34"/>
      <c r="S43" s="35"/>
      <c r="T43" s="36"/>
      <c r="U43" s="37" t="s">
        <v>60</v>
      </c>
    </row>
    <row r="44" spans="1:21" s="11" customFormat="1" ht="36" x14ac:dyDescent="0.2">
      <c r="A44" s="38">
        <v>9</v>
      </c>
      <c r="B44" s="48" t="s">
        <v>47</v>
      </c>
      <c r="C44" s="41"/>
      <c r="D44" s="7"/>
      <c r="E44" s="95"/>
      <c r="F44" s="39"/>
      <c r="G44" s="39"/>
      <c r="H44" s="59"/>
      <c r="I44" s="39"/>
      <c r="J44" s="41"/>
      <c r="K44" s="39"/>
      <c r="L44" s="39"/>
      <c r="M44" s="7"/>
      <c r="N44" s="42"/>
      <c r="O44" s="43"/>
      <c r="P44" s="8">
        <f>N45</f>
        <v>2720</v>
      </c>
      <c r="Q44" s="9" t="s">
        <v>3</v>
      </c>
      <c r="R44" s="141">
        <f>N45</f>
        <v>2720</v>
      </c>
      <c r="S44" s="142"/>
      <c r="T44" s="143"/>
      <c r="U44" s="10"/>
    </row>
    <row r="45" spans="1:21" s="11" customFormat="1" ht="36" x14ac:dyDescent="0.2">
      <c r="A45" s="24">
        <v>9.1</v>
      </c>
      <c r="B45" s="25" t="s">
        <v>50</v>
      </c>
      <c r="C45" s="26"/>
      <c r="D45" s="27" t="s">
        <v>0</v>
      </c>
      <c r="E45" s="94">
        <v>170</v>
      </c>
      <c r="F45" s="29" t="s">
        <v>9</v>
      </c>
      <c r="G45" s="29">
        <v>16</v>
      </c>
      <c r="H45" s="30" t="s">
        <v>39</v>
      </c>
      <c r="I45" s="29" t="s">
        <v>1</v>
      </c>
      <c r="J45" s="26"/>
      <c r="K45" s="29"/>
      <c r="L45" s="29"/>
      <c r="M45" s="27" t="s">
        <v>8</v>
      </c>
      <c r="N45" s="28">
        <f t="shared" ref="N45" si="7">E45*G45</f>
        <v>2720</v>
      </c>
      <c r="O45" s="31" t="s">
        <v>3</v>
      </c>
      <c r="P45" s="58"/>
      <c r="Q45" s="33"/>
      <c r="R45" s="34"/>
      <c r="S45" s="35"/>
      <c r="T45" s="36"/>
      <c r="U45" s="110" t="s">
        <v>53</v>
      </c>
    </row>
    <row r="46" spans="1:21" s="61" customFormat="1" ht="33.75" customHeight="1" x14ac:dyDescent="0.2">
      <c r="A46" s="64" t="s">
        <v>5</v>
      </c>
      <c r="B46" s="123" t="str">
        <f>BAHTTEXT(R46)</f>
        <v>สามหมื่นหกพันหนึ่งร้อยยี่สิบบาทเก้าสิบห้าสตางค์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5"/>
      <c r="R46" s="122">
        <f>SUM(R5:T45)</f>
        <v>36120.949999999997</v>
      </c>
      <c r="S46" s="122"/>
      <c r="T46" s="122"/>
      <c r="U46" s="111"/>
    </row>
    <row r="47" spans="1:21" ht="8.25" customHeight="1" x14ac:dyDescent="0.2">
      <c r="A47" s="65"/>
      <c r="B47" s="66"/>
      <c r="C47" s="67"/>
      <c r="D47" s="68"/>
      <c r="E47" s="98"/>
      <c r="F47" s="67"/>
      <c r="G47" s="69"/>
      <c r="H47" s="3"/>
      <c r="I47" s="70"/>
      <c r="J47" s="67"/>
      <c r="K47" s="67"/>
      <c r="L47" s="67"/>
      <c r="M47" s="67"/>
      <c r="N47" s="71"/>
      <c r="O47" s="67"/>
      <c r="P47" s="72"/>
      <c r="Q47" s="3"/>
      <c r="R47" s="67"/>
      <c r="S47" s="73"/>
      <c r="T47" s="3"/>
      <c r="U47" s="74"/>
    </row>
    <row r="48" spans="1:21" s="108" customFormat="1" ht="35.25" customHeight="1" x14ac:dyDescent="0.2">
      <c r="A48" s="104" t="s">
        <v>62</v>
      </c>
      <c r="B48" s="105"/>
      <c r="C48" s="105"/>
      <c r="D48" s="105"/>
      <c r="E48" s="106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7"/>
    </row>
    <row r="49" spans="1:34" s="314" customFormat="1" ht="24" customHeight="1" x14ac:dyDescent="0.2">
      <c r="A49" s="320" t="s">
        <v>151</v>
      </c>
      <c r="B49" s="321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2"/>
      <c r="S49" s="320" t="s">
        <v>152</v>
      </c>
      <c r="T49" s="322"/>
      <c r="U49" s="323"/>
      <c r="V49" s="319"/>
      <c r="W49" s="319"/>
      <c r="X49" s="319"/>
      <c r="Y49" s="319"/>
      <c r="Z49" s="319"/>
      <c r="AD49" s="313" t="s">
        <v>2</v>
      </c>
      <c r="AH49" s="315"/>
    </row>
    <row r="50" spans="1:34" s="335" customFormat="1" ht="28.5" customHeight="1" x14ac:dyDescent="0.2">
      <c r="A50" s="327">
        <v>1</v>
      </c>
      <c r="B50" s="328" t="s">
        <v>153</v>
      </c>
      <c r="C50" s="329"/>
      <c r="D50" s="329"/>
      <c r="E50" s="330" t="s">
        <v>154</v>
      </c>
      <c r="F50" s="330"/>
      <c r="G50" s="330"/>
      <c r="H50" s="330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31">
        <v>49000</v>
      </c>
      <c r="T50" s="332"/>
      <c r="U50" s="333" t="s">
        <v>160</v>
      </c>
      <c r="V50" s="333"/>
      <c r="W50" s="333"/>
      <c r="X50" s="334"/>
      <c r="Y50" s="334"/>
      <c r="Z50" s="334"/>
      <c r="AD50" s="336"/>
      <c r="AH50" s="337"/>
    </row>
    <row r="51" spans="1:34" s="335" customFormat="1" ht="28.5" customHeight="1" x14ac:dyDescent="0.2">
      <c r="A51" s="327">
        <v>2</v>
      </c>
      <c r="B51" s="338" t="s">
        <v>155</v>
      </c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39"/>
      <c r="T51" s="340"/>
      <c r="U51" s="341"/>
      <c r="V51" s="342"/>
      <c r="W51" s="343"/>
      <c r="X51" s="344"/>
      <c r="Y51" s="344"/>
      <c r="Z51" s="344"/>
      <c r="AD51" s="345"/>
      <c r="AH51" s="337"/>
    </row>
    <row r="52" spans="1:34" s="335" customFormat="1" ht="28.5" customHeight="1" x14ac:dyDescent="0.2">
      <c r="A52" s="327">
        <v>3</v>
      </c>
      <c r="B52" s="338" t="s">
        <v>156</v>
      </c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46">
        <f>S50</f>
        <v>49000</v>
      </c>
      <c r="T52" s="347"/>
      <c r="U52" s="348"/>
      <c r="V52" s="349"/>
      <c r="W52" s="350"/>
      <c r="X52" s="344"/>
      <c r="Y52" s="344"/>
      <c r="Z52" s="344"/>
      <c r="AD52" s="345"/>
      <c r="AH52" s="337"/>
    </row>
    <row r="53" spans="1:34" s="335" customFormat="1" ht="28.5" customHeight="1" x14ac:dyDescent="0.2">
      <c r="A53" s="327">
        <v>4</v>
      </c>
      <c r="B53" s="338" t="s">
        <v>157</v>
      </c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46">
        <f>R46</f>
        <v>36120.949999999997</v>
      </c>
      <c r="T53" s="347"/>
      <c r="U53" s="341"/>
      <c r="V53" s="342"/>
      <c r="W53" s="343"/>
      <c r="X53" s="344"/>
      <c r="Y53" s="344"/>
      <c r="Z53" s="344"/>
      <c r="AD53" s="345"/>
      <c r="AH53" s="337"/>
    </row>
    <row r="54" spans="1:34" s="335" customFormat="1" ht="28.5" customHeight="1" x14ac:dyDescent="0.2">
      <c r="A54" s="327">
        <v>5</v>
      </c>
      <c r="B54" s="351" t="s">
        <v>158</v>
      </c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46">
        <f>S52-S53</f>
        <v>12879.050000000003</v>
      </c>
      <c r="T54" s="347"/>
      <c r="U54" s="341"/>
      <c r="V54" s="342"/>
      <c r="W54" s="343"/>
      <c r="X54" s="344"/>
      <c r="Y54" s="344"/>
      <c r="Z54" s="344"/>
      <c r="AD54" s="345"/>
      <c r="AH54" s="337"/>
    </row>
    <row r="55" spans="1:34" s="335" customFormat="1" ht="28.5" customHeight="1" x14ac:dyDescent="0.2">
      <c r="A55" s="327">
        <v>6</v>
      </c>
      <c r="B55" s="351" t="s">
        <v>159</v>
      </c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39"/>
      <c r="T55" s="340"/>
      <c r="U55" s="341"/>
      <c r="V55" s="342"/>
      <c r="W55" s="343"/>
      <c r="X55" s="344"/>
      <c r="Y55" s="344"/>
      <c r="Z55" s="344"/>
      <c r="AD55" s="345"/>
      <c r="AH55" s="337"/>
    </row>
    <row r="56" spans="1:34" s="361" customFormat="1" ht="28.5" customHeight="1" x14ac:dyDescent="0.2">
      <c r="A56" s="352"/>
      <c r="B56" s="353" t="s">
        <v>163</v>
      </c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5">
        <f>S54</f>
        <v>12879.050000000003</v>
      </c>
      <c r="T56" s="356"/>
      <c r="U56" s="357"/>
      <c r="V56" s="358"/>
      <c r="W56" s="359"/>
      <c r="X56" s="360"/>
      <c r="Y56" s="360"/>
      <c r="Z56" s="360"/>
      <c r="AD56" s="362"/>
      <c r="AH56" s="363"/>
    </row>
    <row r="57" spans="1:34" ht="18.75" customHeight="1" x14ac:dyDescent="0.2">
      <c r="A57" s="76"/>
      <c r="B57" s="77"/>
      <c r="C57" s="78"/>
      <c r="D57" s="79"/>
      <c r="E57" s="99"/>
      <c r="F57" s="78"/>
      <c r="G57" s="80"/>
      <c r="H57" s="4"/>
      <c r="I57" s="76"/>
      <c r="J57" s="78"/>
      <c r="K57" s="78"/>
      <c r="L57" s="78"/>
      <c r="M57" s="78"/>
      <c r="N57" s="81"/>
      <c r="O57" s="78"/>
      <c r="P57" s="82"/>
      <c r="Q57" s="4"/>
      <c r="R57" s="78"/>
      <c r="S57" s="83"/>
      <c r="T57" s="4"/>
      <c r="U57" s="316"/>
      <c r="V57" s="317"/>
      <c r="W57" s="318"/>
    </row>
    <row r="58" spans="1:34" ht="18.75" customHeight="1" x14ac:dyDescent="0.2">
      <c r="A58" s="76"/>
      <c r="B58" s="77"/>
      <c r="C58" s="78"/>
      <c r="D58" s="79"/>
      <c r="E58" s="99"/>
      <c r="F58" s="78"/>
      <c r="G58" s="80"/>
      <c r="H58" s="4"/>
      <c r="I58" s="76"/>
      <c r="J58" s="78"/>
      <c r="K58" s="78"/>
      <c r="L58" s="78"/>
      <c r="M58" s="78"/>
      <c r="N58" s="81"/>
      <c r="O58" s="78"/>
      <c r="P58" s="82"/>
      <c r="Q58" s="4"/>
      <c r="R58" s="78"/>
      <c r="S58" s="83"/>
      <c r="T58" s="4"/>
      <c r="U58" s="77"/>
    </row>
    <row r="59" spans="1:34" ht="18.75" customHeight="1" x14ac:dyDescent="0.2">
      <c r="A59" s="76"/>
      <c r="B59" s="77"/>
      <c r="C59" s="78"/>
      <c r="D59" s="79"/>
      <c r="E59" s="99"/>
      <c r="F59" s="78"/>
      <c r="G59" s="80"/>
      <c r="H59" s="4"/>
      <c r="I59" s="76"/>
      <c r="J59" s="78"/>
      <c r="K59" s="78"/>
      <c r="L59" s="78"/>
      <c r="M59" s="78"/>
      <c r="N59" s="81"/>
      <c r="O59" s="78"/>
      <c r="P59" s="82"/>
      <c r="Q59" s="4"/>
      <c r="R59" s="78"/>
      <c r="S59" s="83"/>
      <c r="T59" s="4"/>
      <c r="U59" s="77"/>
    </row>
    <row r="60" spans="1:34" ht="18.75" customHeight="1" x14ac:dyDescent="0.2">
      <c r="A60" s="76"/>
      <c r="B60" s="77"/>
      <c r="C60" s="78"/>
      <c r="D60" s="79"/>
      <c r="E60" s="99"/>
      <c r="F60" s="78"/>
      <c r="G60" s="80"/>
      <c r="H60" s="4"/>
      <c r="I60" s="76"/>
      <c r="J60" s="78"/>
      <c r="K60" s="78"/>
      <c r="L60" s="78"/>
      <c r="M60" s="78"/>
      <c r="N60" s="81"/>
      <c r="O60" s="78"/>
      <c r="P60" s="82"/>
      <c r="Q60" s="4"/>
      <c r="R60" s="78"/>
      <c r="S60" s="83"/>
      <c r="T60" s="4"/>
      <c r="U60" s="77"/>
    </row>
    <row r="61" spans="1:34" ht="18.75" customHeight="1" x14ac:dyDescent="0.2">
      <c r="A61" s="76"/>
      <c r="B61" s="77"/>
      <c r="C61" s="78"/>
      <c r="D61" s="79"/>
      <c r="E61" s="99"/>
      <c r="F61" s="78"/>
      <c r="G61" s="80"/>
      <c r="H61" s="4"/>
      <c r="I61" s="76"/>
      <c r="J61" s="78"/>
      <c r="K61" s="78"/>
      <c r="L61" s="78"/>
      <c r="M61" s="78"/>
      <c r="N61" s="81"/>
      <c r="O61" s="78"/>
      <c r="P61" s="82"/>
      <c r="Q61" s="4"/>
      <c r="R61" s="78"/>
      <c r="S61" s="83"/>
      <c r="T61" s="4"/>
      <c r="U61" s="77"/>
    </row>
    <row r="62" spans="1:34" ht="18.75" customHeight="1" x14ac:dyDescent="0.2">
      <c r="A62" s="76"/>
      <c r="B62" s="77"/>
      <c r="C62" s="78"/>
      <c r="D62" s="79"/>
      <c r="E62" s="99"/>
      <c r="F62" s="78"/>
      <c r="G62" s="80"/>
      <c r="H62" s="4"/>
      <c r="I62" s="76"/>
      <c r="J62" s="78"/>
      <c r="K62" s="78"/>
      <c r="L62" s="78"/>
      <c r="M62" s="78"/>
      <c r="N62" s="81"/>
      <c r="O62" s="78"/>
      <c r="P62" s="82"/>
      <c r="Q62" s="4"/>
      <c r="R62" s="78"/>
      <c r="S62" s="83"/>
      <c r="T62" s="4"/>
      <c r="U62" s="77"/>
    </row>
    <row r="63" spans="1:34" ht="18.75" customHeight="1" x14ac:dyDescent="0.2">
      <c r="A63" s="76"/>
      <c r="B63" s="77"/>
      <c r="C63" s="78"/>
      <c r="D63" s="79"/>
      <c r="E63" s="99"/>
      <c r="F63" s="78"/>
      <c r="G63" s="80"/>
      <c r="H63" s="4"/>
      <c r="I63" s="76"/>
      <c r="J63" s="78"/>
      <c r="K63" s="78"/>
      <c r="L63" s="78"/>
      <c r="M63" s="78"/>
      <c r="N63" s="81"/>
      <c r="O63" s="78"/>
      <c r="P63" s="82"/>
      <c r="Q63" s="4"/>
      <c r="R63" s="78"/>
      <c r="S63" s="83"/>
      <c r="T63" s="4"/>
      <c r="U63" s="77"/>
    </row>
    <row r="64" spans="1:34" ht="18.75" customHeight="1" x14ac:dyDescent="0.2">
      <c r="A64" s="76"/>
      <c r="B64" s="77"/>
      <c r="C64" s="78"/>
      <c r="D64" s="79"/>
      <c r="E64" s="99"/>
      <c r="F64" s="78"/>
      <c r="G64" s="80"/>
      <c r="H64" s="4"/>
      <c r="I64" s="76"/>
      <c r="J64" s="78"/>
      <c r="K64" s="78"/>
      <c r="L64" s="78"/>
      <c r="M64" s="78"/>
      <c r="N64" s="81"/>
      <c r="O64" s="78"/>
      <c r="P64" s="82"/>
      <c r="Q64" s="4"/>
      <c r="R64" s="78"/>
      <c r="S64" s="83"/>
      <c r="T64" s="4"/>
      <c r="U64" s="77"/>
    </row>
    <row r="65" spans="1:21" ht="18.75" customHeight="1" x14ac:dyDescent="0.2">
      <c r="A65" s="76"/>
      <c r="B65" s="77"/>
      <c r="C65" s="78"/>
      <c r="D65" s="79"/>
      <c r="E65" s="99"/>
      <c r="F65" s="78"/>
      <c r="G65" s="80"/>
      <c r="H65" s="4"/>
      <c r="I65" s="76"/>
      <c r="J65" s="78"/>
      <c r="K65" s="78"/>
      <c r="L65" s="78"/>
      <c r="M65" s="78"/>
      <c r="N65" s="81"/>
      <c r="O65" s="78"/>
      <c r="P65" s="82"/>
      <c r="Q65" s="4"/>
      <c r="R65" s="78"/>
      <c r="S65" s="83"/>
      <c r="T65" s="4"/>
      <c r="U65" s="77"/>
    </row>
    <row r="66" spans="1:21" ht="18.75" customHeight="1" x14ac:dyDescent="0.2">
      <c r="A66" s="76"/>
      <c r="B66" s="77"/>
      <c r="C66" s="78"/>
      <c r="D66" s="79"/>
      <c r="E66" s="99"/>
      <c r="F66" s="78"/>
      <c r="G66" s="80"/>
      <c r="H66" s="4"/>
      <c r="I66" s="76"/>
      <c r="J66" s="78"/>
      <c r="K66" s="78"/>
      <c r="L66" s="78"/>
      <c r="M66" s="78"/>
      <c r="N66" s="81"/>
      <c r="O66" s="78"/>
      <c r="P66" s="82"/>
      <c r="Q66" s="4"/>
      <c r="R66" s="78"/>
      <c r="S66" s="83"/>
      <c r="T66" s="4"/>
      <c r="U66" s="77"/>
    </row>
    <row r="67" spans="1:21" ht="18.75" customHeight="1" x14ac:dyDescent="0.2">
      <c r="A67" s="76"/>
      <c r="B67" s="77"/>
      <c r="C67" s="78"/>
      <c r="D67" s="79"/>
      <c r="E67" s="99"/>
      <c r="F67" s="78"/>
      <c r="G67" s="80"/>
      <c r="H67" s="4"/>
      <c r="I67" s="76"/>
      <c r="J67" s="78"/>
      <c r="K67" s="78"/>
      <c r="L67" s="78"/>
      <c r="M67" s="78"/>
      <c r="N67" s="81"/>
      <c r="O67" s="78"/>
      <c r="P67" s="82"/>
      <c r="Q67" s="4"/>
      <c r="R67" s="78"/>
      <c r="S67" s="83"/>
      <c r="T67" s="4"/>
      <c r="U67" s="77"/>
    </row>
    <row r="68" spans="1:21" ht="18.75" customHeight="1" x14ac:dyDescent="0.2">
      <c r="A68" s="76"/>
      <c r="B68" s="77"/>
      <c r="C68" s="78"/>
      <c r="D68" s="79"/>
      <c r="E68" s="99"/>
      <c r="F68" s="78"/>
      <c r="G68" s="80"/>
      <c r="H68" s="4"/>
      <c r="I68" s="76"/>
      <c r="J68" s="78"/>
      <c r="K68" s="78"/>
      <c r="L68" s="78"/>
      <c r="M68" s="78"/>
      <c r="N68" s="81"/>
      <c r="O68" s="78"/>
      <c r="P68" s="82"/>
      <c r="Q68" s="4"/>
      <c r="R68" s="78"/>
      <c r="S68" s="83"/>
      <c r="T68" s="4"/>
      <c r="U68" s="77"/>
    </row>
    <row r="69" spans="1:21" ht="18.75" customHeight="1" x14ac:dyDescent="0.2">
      <c r="A69" s="76"/>
      <c r="B69" s="77"/>
      <c r="C69" s="78"/>
      <c r="D69" s="79"/>
      <c r="E69" s="99"/>
      <c r="F69" s="78"/>
      <c r="G69" s="80"/>
      <c r="H69" s="4"/>
      <c r="I69" s="76"/>
      <c r="J69" s="78"/>
      <c r="K69" s="78"/>
      <c r="L69" s="78"/>
      <c r="M69" s="78"/>
      <c r="N69" s="81"/>
      <c r="O69" s="78"/>
      <c r="P69" s="82"/>
      <c r="Q69" s="4"/>
      <c r="R69" s="78"/>
      <c r="S69" s="83"/>
      <c r="T69" s="4"/>
      <c r="U69" s="77"/>
    </row>
    <row r="70" spans="1:21" ht="18.75" customHeight="1" x14ac:dyDescent="0.2">
      <c r="A70" s="76"/>
      <c r="B70" s="77"/>
      <c r="C70" s="78"/>
      <c r="D70" s="79"/>
      <c r="E70" s="99"/>
      <c r="F70" s="78"/>
      <c r="G70" s="80"/>
      <c r="H70" s="4"/>
      <c r="I70" s="76"/>
      <c r="J70" s="78"/>
      <c r="K70" s="78"/>
      <c r="L70" s="78"/>
      <c r="M70" s="78"/>
      <c r="N70" s="81"/>
      <c r="O70" s="78"/>
      <c r="P70" s="82"/>
      <c r="Q70" s="4"/>
      <c r="R70" s="78"/>
      <c r="S70" s="83"/>
      <c r="T70" s="4"/>
      <c r="U70" s="77"/>
    </row>
    <row r="71" spans="1:21" ht="18.75" customHeight="1" x14ac:dyDescent="0.2">
      <c r="A71" s="76"/>
      <c r="B71" s="77"/>
      <c r="C71" s="78"/>
      <c r="D71" s="79"/>
      <c r="E71" s="99"/>
      <c r="F71" s="78"/>
      <c r="G71" s="80"/>
      <c r="H71" s="4"/>
      <c r="I71" s="76"/>
      <c r="J71" s="78"/>
      <c r="K71" s="78"/>
      <c r="L71" s="78"/>
      <c r="M71" s="78"/>
      <c r="N71" s="81"/>
      <c r="O71" s="78"/>
      <c r="P71" s="82"/>
      <c r="Q71" s="4"/>
      <c r="R71" s="78"/>
      <c r="S71" s="83"/>
      <c r="T71" s="4"/>
      <c r="U71" s="77"/>
    </row>
    <row r="72" spans="1:21" ht="18.75" customHeight="1" x14ac:dyDescent="0.2">
      <c r="A72" s="76"/>
      <c r="B72" s="77"/>
      <c r="C72" s="78"/>
      <c r="D72" s="79"/>
      <c r="E72" s="99"/>
      <c r="F72" s="78"/>
      <c r="G72" s="80"/>
      <c r="H72" s="4"/>
      <c r="I72" s="76"/>
      <c r="J72" s="78"/>
      <c r="K72" s="78"/>
      <c r="L72" s="78"/>
      <c r="M72" s="78"/>
      <c r="N72" s="81"/>
      <c r="O72" s="78"/>
      <c r="P72" s="82"/>
      <c r="Q72" s="4"/>
      <c r="R72" s="78"/>
      <c r="S72" s="83"/>
      <c r="T72" s="4"/>
      <c r="U72" s="77"/>
    </row>
    <row r="73" spans="1:21" ht="18.75" customHeight="1" x14ac:dyDescent="0.2">
      <c r="A73" s="76"/>
      <c r="B73" s="77"/>
      <c r="C73" s="78"/>
      <c r="D73" s="79"/>
      <c r="E73" s="99"/>
      <c r="F73" s="78"/>
      <c r="G73" s="80"/>
      <c r="H73" s="4"/>
      <c r="I73" s="76"/>
      <c r="J73" s="78"/>
      <c r="K73" s="78"/>
      <c r="L73" s="78"/>
      <c r="M73" s="78"/>
      <c r="N73" s="81"/>
      <c r="O73" s="78"/>
      <c r="P73" s="82"/>
      <c r="Q73" s="4"/>
      <c r="R73" s="78"/>
      <c r="S73" s="83"/>
      <c r="T73" s="4"/>
      <c r="U73" s="77"/>
    </row>
    <row r="74" spans="1:21" ht="18.75" customHeight="1" x14ac:dyDescent="0.2">
      <c r="A74" s="76"/>
      <c r="B74" s="77"/>
      <c r="C74" s="78"/>
      <c r="D74" s="79"/>
      <c r="E74" s="99"/>
      <c r="F74" s="78"/>
      <c r="G74" s="80"/>
      <c r="H74" s="4"/>
      <c r="I74" s="76"/>
      <c r="J74" s="78"/>
      <c r="K74" s="78"/>
      <c r="L74" s="78"/>
      <c r="M74" s="78"/>
      <c r="N74" s="81"/>
      <c r="O74" s="78"/>
      <c r="P74" s="82"/>
      <c r="Q74" s="4"/>
      <c r="R74" s="78"/>
      <c r="S74" s="83"/>
      <c r="T74" s="4"/>
      <c r="U74" s="77"/>
    </row>
    <row r="75" spans="1:21" ht="18.75" customHeight="1" x14ac:dyDescent="0.2">
      <c r="A75" s="76"/>
      <c r="B75" s="77"/>
      <c r="C75" s="78"/>
      <c r="D75" s="79"/>
      <c r="E75" s="99"/>
      <c r="F75" s="78"/>
      <c r="G75" s="80"/>
      <c r="H75" s="4"/>
      <c r="I75" s="76"/>
      <c r="J75" s="78"/>
      <c r="K75" s="78"/>
      <c r="L75" s="78"/>
      <c r="M75" s="78"/>
      <c r="N75" s="81"/>
      <c r="O75" s="78"/>
      <c r="P75" s="82"/>
      <c r="Q75" s="4"/>
      <c r="R75" s="78"/>
      <c r="S75" s="83"/>
      <c r="T75" s="4"/>
      <c r="U75" s="77"/>
    </row>
    <row r="76" spans="1:21" ht="18.75" customHeight="1" x14ac:dyDescent="0.2">
      <c r="A76" s="76"/>
      <c r="B76" s="77"/>
      <c r="C76" s="78"/>
      <c r="D76" s="79"/>
      <c r="E76" s="99"/>
      <c r="F76" s="78"/>
      <c r="G76" s="80"/>
      <c r="H76" s="4"/>
      <c r="I76" s="76"/>
      <c r="J76" s="78"/>
      <c r="K76" s="78"/>
      <c r="L76" s="78"/>
      <c r="M76" s="78"/>
      <c r="N76" s="81"/>
      <c r="O76" s="78"/>
      <c r="P76" s="82"/>
      <c r="Q76" s="4"/>
      <c r="R76" s="78"/>
      <c r="S76" s="83"/>
      <c r="T76" s="4"/>
      <c r="U76" s="77"/>
    </row>
    <row r="77" spans="1:21" ht="18.75" customHeight="1" x14ac:dyDescent="0.2">
      <c r="A77" s="76"/>
      <c r="B77" s="77"/>
      <c r="C77" s="78"/>
      <c r="D77" s="79"/>
      <c r="E77" s="99"/>
      <c r="F77" s="78"/>
      <c r="G77" s="80"/>
      <c r="H77" s="4"/>
      <c r="I77" s="76"/>
      <c r="J77" s="78"/>
      <c r="K77" s="78"/>
      <c r="L77" s="78"/>
      <c r="M77" s="78"/>
      <c r="N77" s="81"/>
      <c r="O77" s="78"/>
      <c r="P77" s="82"/>
      <c r="Q77" s="4"/>
      <c r="R77" s="78"/>
      <c r="S77" s="83"/>
      <c r="T77" s="4"/>
      <c r="U77" s="77"/>
    </row>
    <row r="78" spans="1:21" ht="18.75" customHeight="1" x14ac:dyDescent="0.2">
      <c r="A78" s="76"/>
      <c r="B78" s="77"/>
      <c r="C78" s="78"/>
      <c r="D78" s="79"/>
      <c r="E78" s="99"/>
      <c r="F78" s="78"/>
      <c r="G78" s="80"/>
      <c r="H78" s="4"/>
      <c r="I78" s="76"/>
      <c r="J78" s="78"/>
      <c r="K78" s="78"/>
      <c r="L78" s="78"/>
      <c r="M78" s="78"/>
      <c r="N78" s="81"/>
      <c r="O78" s="78"/>
      <c r="P78" s="82"/>
      <c r="Q78" s="4"/>
      <c r="R78" s="78"/>
      <c r="S78" s="83"/>
      <c r="T78" s="4"/>
      <c r="U78" s="77"/>
    </row>
    <row r="79" spans="1:21" ht="18.75" customHeight="1" x14ac:dyDescent="0.2">
      <c r="A79" s="76"/>
      <c r="B79" s="77"/>
      <c r="C79" s="78"/>
      <c r="D79" s="79"/>
      <c r="E79" s="99"/>
      <c r="F79" s="78"/>
      <c r="G79" s="80"/>
      <c r="H79" s="4"/>
      <c r="I79" s="76"/>
      <c r="J79" s="78"/>
      <c r="K79" s="78"/>
      <c r="L79" s="78"/>
      <c r="M79" s="78"/>
      <c r="N79" s="81"/>
      <c r="O79" s="78"/>
      <c r="P79" s="82"/>
      <c r="Q79" s="4"/>
      <c r="R79" s="78"/>
      <c r="S79" s="83"/>
      <c r="T79" s="4"/>
      <c r="U79" s="77"/>
    </row>
    <row r="80" spans="1:21" ht="18.75" customHeight="1" x14ac:dyDescent="0.2">
      <c r="A80" s="76"/>
      <c r="B80" s="77"/>
      <c r="C80" s="78"/>
      <c r="D80" s="79"/>
      <c r="E80" s="99"/>
      <c r="F80" s="78"/>
      <c r="G80" s="80"/>
      <c r="H80" s="4"/>
      <c r="I80" s="76"/>
      <c r="J80" s="78"/>
      <c r="K80" s="78"/>
      <c r="L80" s="78"/>
      <c r="M80" s="78"/>
      <c r="N80" s="81"/>
      <c r="O80" s="78"/>
      <c r="P80" s="82"/>
      <c r="Q80" s="4"/>
      <c r="R80" s="78"/>
      <c r="S80" s="83"/>
      <c r="T80" s="4"/>
      <c r="U80" s="77"/>
    </row>
    <row r="81" spans="1:21" ht="18.75" customHeight="1" x14ac:dyDescent="0.2">
      <c r="A81" s="76"/>
      <c r="B81" s="77"/>
      <c r="C81" s="78"/>
      <c r="D81" s="79"/>
      <c r="E81" s="99"/>
      <c r="F81" s="78"/>
      <c r="G81" s="80"/>
      <c r="H81" s="4"/>
      <c r="I81" s="76"/>
      <c r="J81" s="78"/>
      <c r="K81" s="78"/>
      <c r="L81" s="78"/>
      <c r="M81" s="78"/>
      <c r="N81" s="81"/>
      <c r="O81" s="78"/>
      <c r="P81" s="82"/>
      <c r="Q81" s="4"/>
      <c r="R81" s="78"/>
      <c r="S81" s="83"/>
      <c r="T81" s="4"/>
      <c r="U81" s="77"/>
    </row>
    <row r="82" spans="1:21" ht="18.75" customHeight="1" x14ac:dyDescent="0.2">
      <c r="A82" s="76"/>
      <c r="B82" s="77"/>
      <c r="C82" s="78"/>
      <c r="D82" s="79"/>
      <c r="E82" s="99"/>
      <c r="F82" s="78"/>
      <c r="G82" s="80"/>
      <c r="H82" s="4"/>
      <c r="I82" s="76"/>
      <c r="J82" s="78"/>
      <c r="K82" s="78"/>
      <c r="L82" s="78"/>
      <c r="M82" s="78"/>
      <c r="N82" s="81"/>
      <c r="O82" s="78"/>
      <c r="P82" s="82"/>
      <c r="Q82" s="4"/>
      <c r="R82" s="78"/>
      <c r="S82" s="83"/>
      <c r="T82" s="4"/>
      <c r="U82" s="77"/>
    </row>
    <row r="83" spans="1:21" ht="18.75" customHeight="1" x14ac:dyDescent="0.2">
      <c r="A83" s="76"/>
      <c r="B83" s="77"/>
      <c r="C83" s="78"/>
      <c r="D83" s="79"/>
      <c r="E83" s="99"/>
      <c r="F83" s="78"/>
      <c r="G83" s="80"/>
      <c r="H83" s="4"/>
      <c r="I83" s="76"/>
      <c r="J83" s="78"/>
      <c r="K83" s="78"/>
      <c r="L83" s="78"/>
      <c r="M83" s="78"/>
      <c r="N83" s="81"/>
      <c r="O83" s="78"/>
      <c r="P83" s="82"/>
      <c r="Q83" s="4"/>
      <c r="R83" s="78"/>
      <c r="S83" s="83"/>
      <c r="T83" s="4"/>
      <c r="U83" s="77"/>
    </row>
    <row r="84" spans="1:21" ht="18.75" customHeight="1" x14ac:dyDescent="0.2">
      <c r="A84" s="76"/>
      <c r="B84" s="77"/>
      <c r="C84" s="78"/>
      <c r="D84" s="79"/>
      <c r="E84" s="99"/>
      <c r="F84" s="78"/>
      <c r="G84" s="80"/>
      <c r="H84" s="4"/>
      <c r="I84" s="76"/>
      <c r="J84" s="78"/>
      <c r="K84" s="78"/>
      <c r="L84" s="78"/>
      <c r="M84" s="78"/>
      <c r="N84" s="81"/>
      <c r="O84" s="78"/>
      <c r="P84" s="82"/>
      <c r="Q84" s="4"/>
      <c r="R84" s="78"/>
      <c r="S84" s="83"/>
      <c r="T84" s="4"/>
      <c r="U84" s="77"/>
    </row>
    <row r="85" spans="1:21" ht="18.75" customHeight="1" x14ac:dyDescent="0.2">
      <c r="A85" s="76"/>
      <c r="B85" s="77"/>
      <c r="C85" s="78"/>
      <c r="D85" s="79"/>
      <c r="E85" s="99"/>
      <c r="F85" s="78"/>
      <c r="G85" s="80"/>
      <c r="H85" s="4"/>
      <c r="I85" s="76"/>
      <c r="J85" s="78"/>
      <c r="K85" s="78"/>
      <c r="L85" s="78"/>
      <c r="M85" s="78"/>
      <c r="N85" s="81"/>
      <c r="O85" s="78"/>
      <c r="P85" s="82"/>
      <c r="Q85" s="4"/>
      <c r="R85" s="78"/>
      <c r="S85" s="83"/>
      <c r="T85" s="4"/>
      <c r="U85" s="77"/>
    </row>
    <row r="86" spans="1:21" ht="18.75" customHeight="1" x14ac:dyDescent="0.2">
      <c r="A86" s="76"/>
      <c r="B86" s="77"/>
      <c r="C86" s="78"/>
      <c r="D86" s="79"/>
      <c r="E86" s="99"/>
      <c r="F86" s="78"/>
      <c r="G86" s="80"/>
      <c r="H86" s="4"/>
      <c r="I86" s="76"/>
      <c r="J86" s="78"/>
      <c r="K86" s="78"/>
      <c r="L86" s="78"/>
      <c r="M86" s="78"/>
      <c r="N86" s="81"/>
      <c r="O86" s="78"/>
      <c r="P86" s="82"/>
      <c r="Q86" s="4"/>
      <c r="R86" s="78"/>
      <c r="S86" s="83"/>
      <c r="T86" s="4"/>
      <c r="U86" s="77"/>
    </row>
    <row r="87" spans="1:21" ht="18.75" customHeight="1" x14ac:dyDescent="0.2">
      <c r="A87" s="76"/>
      <c r="B87" s="77"/>
      <c r="C87" s="78"/>
      <c r="D87" s="79"/>
      <c r="E87" s="99"/>
      <c r="F87" s="78"/>
      <c r="G87" s="80"/>
      <c r="H87" s="4"/>
      <c r="I87" s="76"/>
      <c r="J87" s="78"/>
      <c r="K87" s="78"/>
      <c r="L87" s="78"/>
      <c r="M87" s="78"/>
      <c r="N87" s="81"/>
      <c r="O87" s="78"/>
      <c r="P87" s="82"/>
      <c r="Q87" s="4"/>
      <c r="R87" s="78"/>
      <c r="S87" s="83"/>
      <c r="T87" s="4"/>
      <c r="U87" s="77"/>
    </row>
    <row r="88" spans="1:21" ht="18.75" customHeight="1" x14ac:dyDescent="0.2">
      <c r="A88" s="76"/>
      <c r="B88" s="77"/>
      <c r="C88" s="78"/>
      <c r="D88" s="79"/>
      <c r="E88" s="99"/>
      <c r="F88" s="78"/>
      <c r="G88" s="80"/>
      <c r="H88" s="4"/>
      <c r="I88" s="76"/>
      <c r="J88" s="78"/>
      <c r="K88" s="78"/>
      <c r="L88" s="78"/>
      <c r="M88" s="78"/>
      <c r="N88" s="81"/>
      <c r="O88" s="78"/>
      <c r="P88" s="82"/>
      <c r="Q88" s="4"/>
      <c r="R88" s="78"/>
      <c r="S88" s="83"/>
      <c r="T88" s="4"/>
      <c r="U88" s="77"/>
    </row>
    <row r="89" spans="1:21" ht="18.75" customHeight="1" x14ac:dyDescent="0.2">
      <c r="A89" s="76"/>
      <c r="B89" s="77"/>
      <c r="C89" s="78"/>
      <c r="D89" s="79"/>
      <c r="E89" s="99"/>
      <c r="F89" s="78"/>
      <c r="G89" s="80"/>
      <c r="H89" s="4"/>
      <c r="I89" s="76"/>
      <c r="J89" s="78"/>
      <c r="K89" s="78"/>
      <c r="L89" s="78"/>
      <c r="M89" s="78"/>
      <c r="N89" s="81"/>
      <c r="O89" s="78"/>
      <c r="P89" s="82"/>
      <c r="Q89" s="4"/>
      <c r="R89" s="78"/>
      <c r="S89" s="83"/>
      <c r="T89" s="4"/>
      <c r="U89" s="77"/>
    </row>
    <row r="90" spans="1:21" ht="18.75" customHeight="1" x14ac:dyDescent="0.2">
      <c r="A90" s="76"/>
      <c r="B90" s="77"/>
      <c r="C90" s="78"/>
      <c r="D90" s="79"/>
      <c r="E90" s="99"/>
      <c r="F90" s="78"/>
      <c r="G90" s="80"/>
      <c r="H90" s="4"/>
      <c r="I90" s="76"/>
      <c r="J90" s="78"/>
      <c r="K90" s="78"/>
      <c r="L90" s="78"/>
      <c r="M90" s="78"/>
      <c r="N90" s="81"/>
      <c r="O90" s="78"/>
      <c r="P90" s="82"/>
      <c r="Q90" s="4"/>
      <c r="R90" s="78"/>
      <c r="S90" s="83"/>
      <c r="T90" s="4"/>
      <c r="U90" s="77"/>
    </row>
    <row r="91" spans="1:21" ht="18.75" customHeight="1" x14ac:dyDescent="0.2">
      <c r="A91" s="76"/>
      <c r="B91" s="77"/>
      <c r="C91" s="78"/>
      <c r="D91" s="79"/>
      <c r="E91" s="99"/>
      <c r="F91" s="78"/>
      <c r="G91" s="80"/>
      <c r="H91" s="4"/>
      <c r="I91" s="76"/>
      <c r="J91" s="78"/>
      <c r="K91" s="78"/>
      <c r="L91" s="78"/>
      <c r="M91" s="78"/>
      <c r="N91" s="81"/>
      <c r="O91" s="78"/>
      <c r="P91" s="82"/>
      <c r="Q91" s="4"/>
      <c r="R91" s="78"/>
      <c r="S91" s="83"/>
      <c r="T91" s="4"/>
      <c r="U91" s="77"/>
    </row>
    <row r="92" spans="1:21" ht="18.75" customHeight="1" x14ac:dyDescent="0.2">
      <c r="A92" s="76"/>
      <c r="B92" s="77"/>
      <c r="C92" s="78"/>
      <c r="D92" s="79"/>
      <c r="E92" s="99"/>
      <c r="F92" s="78"/>
      <c r="G92" s="80"/>
      <c r="H92" s="4"/>
      <c r="I92" s="76"/>
      <c r="J92" s="78"/>
      <c r="K92" s="78"/>
      <c r="L92" s="78"/>
      <c r="M92" s="78"/>
      <c r="N92" s="81"/>
      <c r="O92" s="78"/>
      <c r="P92" s="82"/>
      <c r="Q92" s="4"/>
      <c r="R92" s="78"/>
      <c r="S92" s="83"/>
      <c r="T92" s="4"/>
      <c r="U92" s="77"/>
    </row>
    <row r="93" spans="1:21" ht="18.75" customHeight="1" x14ac:dyDescent="0.2">
      <c r="A93" s="76"/>
      <c r="B93" s="77"/>
      <c r="C93" s="78"/>
      <c r="D93" s="79"/>
      <c r="E93" s="99"/>
      <c r="F93" s="78"/>
      <c r="G93" s="80"/>
      <c r="H93" s="4"/>
      <c r="I93" s="76"/>
      <c r="J93" s="78"/>
      <c r="K93" s="78"/>
      <c r="L93" s="78"/>
      <c r="M93" s="78"/>
      <c r="N93" s="81"/>
      <c r="O93" s="78"/>
      <c r="P93" s="82"/>
      <c r="Q93" s="4"/>
      <c r="R93" s="78"/>
      <c r="S93" s="83"/>
      <c r="T93" s="4"/>
      <c r="U93" s="77"/>
    </row>
    <row r="94" spans="1:21" ht="18.75" customHeight="1" x14ac:dyDescent="0.2">
      <c r="A94" s="76"/>
      <c r="B94" s="77"/>
      <c r="C94" s="78"/>
      <c r="D94" s="79"/>
      <c r="E94" s="99"/>
      <c r="F94" s="78"/>
      <c r="G94" s="80"/>
      <c r="H94" s="4"/>
      <c r="I94" s="76"/>
      <c r="J94" s="78"/>
      <c r="K94" s="78"/>
      <c r="L94" s="78"/>
      <c r="M94" s="78"/>
      <c r="N94" s="81"/>
      <c r="O94" s="78"/>
      <c r="P94" s="82"/>
      <c r="Q94" s="4"/>
      <c r="R94" s="78"/>
      <c r="S94" s="83"/>
      <c r="T94" s="4"/>
      <c r="U94" s="77"/>
    </row>
    <row r="95" spans="1:21" ht="18.75" customHeight="1" x14ac:dyDescent="0.2">
      <c r="A95" s="76"/>
      <c r="B95" s="77"/>
      <c r="C95" s="78"/>
      <c r="D95" s="79"/>
      <c r="E95" s="99"/>
      <c r="F95" s="78"/>
      <c r="G95" s="80"/>
      <c r="H95" s="4"/>
      <c r="I95" s="76"/>
      <c r="J95" s="78"/>
      <c r="K95" s="78"/>
      <c r="L95" s="78"/>
      <c r="M95" s="78"/>
      <c r="N95" s="81"/>
      <c r="O95" s="78"/>
      <c r="P95" s="82"/>
      <c r="Q95" s="4"/>
      <c r="R95" s="78"/>
      <c r="S95" s="83"/>
      <c r="T95" s="4"/>
      <c r="U95" s="77"/>
    </row>
    <row r="96" spans="1:21" ht="18.75" customHeight="1" x14ac:dyDescent="0.2">
      <c r="A96" s="76"/>
      <c r="B96" s="77"/>
      <c r="C96" s="78"/>
      <c r="D96" s="79"/>
      <c r="E96" s="99"/>
      <c r="F96" s="78"/>
      <c r="G96" s="80"/>
      <c r="H96" s="4"/>
      <c r="I96" s="76"/>
      <c r="J96" s="78"/>
      <c r="K96" s="78"/>
      <c r="L96" s="78"/>
      <c r="M96" s="78"/>
      <c r="N96" s="81"/>
      <c r="O96" s="78"/>
      <c r="P96" s="82"/>
      <c r="Q96" s="4"/>
      <c r="R96" s="78"/>
      <c r="S96" s="83"/>
      <c r="T96" s="4"/>
      <c r="U96" s="77"/>
    </row>
    <row r="97" spans="1:21" ht="18.75" customHeight="1" x14ac:dyDescent="0.2">
      <c r="A97" s="76"/>
      <c r="B97" s="77"/>
      <c r="C97" s="78"/>
      <c r="D97" s="79"/>
      <c r="E97" s="99"/>
      <c r="F97" s="78"/>
      <c r="G97" s="80"/>
      <c r="H97" s="4"/>
      <c r="I97" s="76"/>
      <c r="J97" s="78"/>
      <c r="K97" s="78"/>
      <c r="L97" s="78"/>
      <c r="M97" s="78"/>
      <c r="N97" s="81"/>
      <c r="O97" s="78"/>
      <c r="P97" s="82"/>
      <c r="Q97" s="4"/>
      <c r="R97" s="78"/>
      <c r="S97" s="83"/>
      <c r="T97" s="4"/>
      <c r="U97" s="77"/>
    </row>
    <row r="98" spans="1:21" ht="18.75" customHeight="1" x14ac:dyDescent="0.2">
      <c r="A98" s="76"/>
      <c r="B98" s="77"/>
      <c r="C98" s="78"/>
      <c r="D98" s="79"/>
      <c r="E98" s="99"/>
      <c r="F98" s="78"/>
      <c r="G98" s="80"/>
      <c r="H98" s="4"/>
      <c r="I98" s="76"/>
      <c r="J98" s="78"/>
      <c r="K98" s="78"/>
      <c r="L98" s="78"/>
      <c r="M98" s="78"/>
      <c r="N98" s="81"/>
      <c r="O98" s="78"/>
      <c r="P98" s="82"/>
      <c r="Q98" s="4"/>
      <c r="R98" s="78"/>
      <c r="S98" s="83"/>
      <c r="T98" s="4"/>
      <c r="U98" s="77"/>
    </row>
    <row r="99" spans="1:21" ht="18.75" customHeight="1" x14ac:dyDescent="0.2">
      <c r="A99" s="76"/>
      <c r="B99" s="77"/>
      <c r="C99" s="78"/>
      <c r="D99" s="79"/>
      <c r="E99" s="99"/>
      <c r="F99" s="78"/>
      <c r="G99" s="80"/>
      <c r="H99" s="4"/>
      <c r="I99" s="76"/>
      <c r="J99" s="78"/>
      <c r="K99" s="78"/>
      <c r="L99" s="78"/>
      <c r="M99" s="78"/>
      <c r="N99" s="81"/>
      <c r="O99" s="78"/>
      <c r="P99" s="82"/>
      <c r="Q99" s="4"/>
      <c r="R99" s="78"/>
      <c r="S99" s="83"/>
      <c r="T99" s="4"/>
      <c r="U99" s="77"/>
    </row>
    <row r="100" spans="1:21" ht="18.75" customHeight="1" x14ac:dyDescent="0.2">
      <c r="A100" s="76"/>
      <c r="B100" s="77"/>
      <c r="C100" s="78"/>
      <c r="D100" s="79"/>
      <c r="E100" s="99"/>
      <c r="F100" s="78"/>
      <c r="G100" s="80"/>
      <c r="H100" s="4"/>
      <c r="I100" s="76"/>
      <c r="J100" s="78"/>
      <c r="K100" s="78"/>
      <c r="L100" s="78"/>
      <c r="M100" s="78"/>
      <c r="N100" s="81"/>
      <c r="O100" s="78"/>
      <c r="P100" s="82"/>
      <c r="Q100" s="4"/>
      <c r="R100" s="78"/>
      <c r="S100" s="83"/>
      <c r="T100" s="4"/>
      <c r="U100" s="77"/>
    </row>
    <row r="101" spans="1:21" ht="18.75" customHeight="1" x14ac:dyDescent="0.2">
      <c r="A101" s="76"/>
      <c r="B101" s="77"/>
      <c r="C101" s="78"/>
      <c r="D101" s="79"/>
      <c r="E101" s="99"/>
      <c r="F101" s="78"/>
      <c r="G101" s="80"/>
      <c r="H101" s="4"/>
      <c r="I101" s="76"/>
      <c r="J101" s="78"/>
      <c r="K101" s="78"/>
      <c r="L101" s="78"/>
      <c r="M101" s="78"/>
      <c r="N101" s="81"/>
      <c r="O101" s="78"/>
      <c r="P101" s="82"/>
      <c r="Q101" s="4"/>
      <c r="R101" s="78"/>
      <c r="S101" s="83"/>
      <c r="T101" s="4"/>
      <c r="U101" s="77"/>
    </row>
    <row r="102" spans="1:21" ht="18.75" customHeight="1" x14ac:dyDescent="0.2">
      <c r="A102" s="76"/>
      <c r="B102" s="77"/>
      <c r="C102" s="78"/>
      <c r="D102" s="79"/>
      <c r="E102" s="99"/>
      <c r="F102" s="78"/>
      <c r="G102" s="80"/>
      <c r="H102" s="4"/>
      <c r="I102" s="76"/>
      <c r="J102" s="78"/>
      <c r="K102" s="78"/>
      <c r="L102" s="78"/>
      <c r="M102" s="78"/>
      <c r="N102" s="81"/>
      <c r="O102" s="78"/>
      <c r="P102" s="82"/>
      <c r="Q102" s="4"/>
      <c r="R102" s="78"/>
      <c r="S102" s="83"/>
      <c r="T102" s="4"/>
      <c r="U102" s="77"/>
    </row>
    <row r="103" spans="1:21" ht="18.75" customHeight="1" x14ac:dyDescent="0.2">
      <c r="A103" s="76"/>
      <c r="B103" s="77"/>
      <c r="C103" s="78"/>
      <c r="D103" s="79"/>
      <c r="E103" s="99"/>
      <c r="F103" s="78"/>
      <c r="G103" s="80"/>
      <c r="H103" s="4"/>
      <c r="I103" s="76"/>
      <c r="J103" s="78"/>
      <c r="K103" s="78"/>
      <c r="L103" s="78"/>
      <c r="M103" s="78"/>
      <c r="N103" s="81"/>
      <c r="O103" s="78"/>
      <c r="P103" s="82"/>
      <c r="Q103" s="4"/>
      <c r="R103" s="78"/>
      <c r="S103" s="83"/>
      <c r="T103" s="4"/>
      <c r="U103" s="77"/>
    </row>
    <row r="104" spans="1:21" ht="18.75" customHeight="1" x14ac:dyDescent="0.2">
      <c r="A104" s="76"/>
      <c r="B104" s="77"/>
      <c r="C104" s="78"/>
      <c r="D104" s="79"/>
      <c r="E104" s="99"/>
      <c r="F104" s="78"/>
      <c r="G104" s="80"/>
      <c r="H104" s="4"/>
      <c r="I104" s="76"/>
      <c r="J104" s="78"/>
      <c r="K104" s="78"/>
      <c r="L104" s="78"/>
      <c r="M104" s="78"/>
      <c r="N104" s="81"/>
      <c r="O104" s="78"/>
      <c r="P104" s="82"/>
      <c r="Q104" s="4"/>
      <c r="R104" s="78"/>
      <c r="S104" s="83"/>
      <c r="T104" s="4"/>
      <c r="U104" s="77"/>
    </row>
    <row r="105" spans="1:21" ht="18.75" customHeight="1" x14ac:dyDescent="0.2">
      <c r="A105" s="76"/>
      <c r="B105" s="77"/>
      <c r="C105" s="78"/>
      <c r="D105" s="79"/>
      <c r="E105" s="99"/>
      <c r="F105" s="78"/>
      <c r="G105" s="80"/>
      <c r="H105" s="4"/>
      <c r="I105" s="76"/>
      <c r="J105" s="78"/>
      <c r="K105" s="78"/>
      <c r="L105" s="78"/>
      <c r="M105" s="78"/>
      <c r="N105" s="81"/>
      <c r="O105" s="78"/>
      <c r="P105" s="82"/>
      <c r="Q105" s="4"/>
      <c r="R105" s="78"/>
      <c r="S105" s="83"/>
      <c r="T105" s="4"/>
      <c r="U105" s="77"/>
    </row>
    <row r="106" spans="1:21" ht="18.75" customHeight="1" x14ac:dyDescent="0.2">
      <c r="A106" s="76"/>
      <c r="B106" s="77"/>
      <c r="C106" s="78"/>
      <c r="D106" s="79"/>
      <c r="E106" s="99"/>
      <c r="F106" s="78"/>
      <c r="G106" s="80"/>
      <c r="H106" s="4"/>
      <c r="I106" s="76"/>
      <c r="J106" s="78"/>
      <c r="K106" s="78"/>
      <c r="L106" s="78"/>
      <c r="M106" s="78"/>
      <c r="N106" s="81"/>
      <c r="O106" s="78"/>
      <c r="P106" s="82"/>
      <c r="Q106" s="4"/>
      <c r="R106" s="78"/>
      <c r="S106" s="83"/>
      <c r="T106" s="4"/>
      <c r="U106" s="77"/>
    </row>
    <row r="107" spans="1:21" ht="18.75" customHeight="1" x14ac:dyDescent="0.2">
      <c r="A107" s="76"/>
      <c r="B107" s="77"/>
      <c r="C107" s="78"/>
      <c r="D107" s="79"/>
      <c r="E107" s="99"/>
      <c r="F107" s="78"/>
      <c r="G107" s="80"/>
      <c r="H107" s="4"/>
      <c r="I107" s="76"/>
      <c r="J107" s="78"/>
      <c r="K107" s="78"/>
      <c r="L107" s="78"/>
      <c r="M107" s="78"/>
      <c r="N107" s="81"/>
      <c r="O107" s="78"/>
      <c r="P107" s="82"/>
      <c r="Q107" s="4"/>
      <c r="R107" s="78"/>
      <c r="S107" s="83"/>
      <c r="T107" s="4"/>
      <c r="U107" s="77"/>
    </row>
    <row r="108" spans="1:21" ht="18.75" customHeight="1" x14ac:dyDescent="0.2">
      <c r="A108" s="76"/>
      <c r="B108" s="77"/>
      <c r="C108" s="78"/>
      <c r="D108" s="79"/>
      <c r="E108" s="99"/>
      <c r="F108" s="78"/>
      <c r="G108" s="80"/>
      <c r="H108" s="4"/>
      <c r="I108" s="76"/>
      <c r="J108" s="78"/>
      <c r="K108" s="78"/>
      <c r="L108" s="78"/>
      <c r="M108" s="78"/>
      <c r="N108" s="81"/>
      <c r="O108" s="78"/>
      <c r="P108" s="82"/>
      <c r="Q108" s="4"/>
      <c r="R108" s="78"/>
      <c r="S108" s="83"/>
      <c r="T108" s="4"/>
      <c r="U108" s="77"/>
    </row>
    <row r="109" spans="1:21" ht="18.75" customHeight="1" x14ac:dyDescent="0.2">
      <c r="A109" s="76"/>
      <c r="B109" s="77"/>
      <c r="C109" s="78"/>
      <c r="D109" s="79"/>
      <c r="E109" s="99"/>
      <c r="F109" s="78"/>
      <c r="G109" s="80"/>
      <c r="H109" s="4"/>
      <c r="I109" s="76"/>
      <c r="J109" s="78"/>
      <c r="K109" s="78"/>
      <c r="L109" s="78"/>
      <c r="M109" s="78"/>
      <c r="N109" s="81"/>
      <c r="O109" s="78"/>
      <c r="P109" s="82"/>
      <c r="Q109" s="4"/>
      <c r="R109" s="78"/>
      <c r="S109" s="83"/>
      <c r="T109" s="4"/>
      <c r="U109" s="77"/>
    </row>
    <row r="110" spans="1:21" ht="18.75" customHeight="1" x14ac:dyDescent="0.2">
      <c r="A110" s="76"/>
      <c r="B110" s="77"/>
      <c r="C110" s="78"/>
      <c r="D110" s="79"/>
      <c r="E110" s="99"/>
      <c r="F110" s="78"/>
      <c r="G110" s="80"/>
      <c r="H110" s="4"/>
      <c r="I110" s="76"/>
      <c r="J110" s="78"/>
      <c r="K110" s="78"/>
      <c r="L110" s="78"/>
      <c r="M110" s="78"/>
      <c r="N110" s="81"/>
      <c r="O110" s="78"/>
      <c r="P110" s="82"/>
      <c r="Q110" s="4"/>
      <c r="R110" s="78"/>
      <c r="S110" s="83"/>
      <c r="T110" s="4"/>
      <c r="U110" s="77"/>
    </row>
    <row r="111" spans="1:21" ht="18.75" customHeight="1" x14ac:dyDescent="0.2">
      <c r="A111" s="76"/>
      <c r="B111" s="77"/>
      <c r="C111" s="78"/>
      <c r="D111" s="79"/>
      <c r="E111" s="99"/>
      <c r="F111" s="78"/>
      <c r="G111" s="80"/>
      <c r="H111" s="4"/>
      <c r="I111" s="76"/>
      <c r="J111" s="78"/>
      <c r="K111" s="78"/>
      <c r="L111" s="78"/>
      <c r="M111" s="78"/>
      <c r="N111" s="81"/>
      <c r="O111" s="78"/>
      <c r="P111" s="82"/>
      <c r="Q111" s="4"/>
      <c r="R111" s="78"/>
      <c r="S111" s="83"/>
      <c r="T111" s="4"/>
      <c r="U111" s="77"/>
    </row>
    <row r="112" spans="1:21" ht="18.75" customHeight="1" x14ac:dyDescent="0.2">
      <c r="A112" s="76"/>
      <c r="B112" s="77"/>
      <c r="C112" s="78"/>
      <c r="D112" s="79"/>
      <c r="E112" s="99"/>
      <c r="F112" s="78"/>
      <c r="G112" s="80"/>
      <c r="H112" s="4"/>
      <c r="I112" s="76"/>
      <c r="J112" s="78"/>
      <c r="K112" s="78"/>
      <c r="L112" s="78"/>
      <c r="M112" s="78"/>
      <c r="N112" s="81"/>
      <c r="O112" s="78"/>
      <c r="P112" s="82"/>
      <c r="Q112" s="4"/>
      <c r="R112" s="78"/>
      <c r="S112" s="83"/>
      <c r="T112" s="4"/>
      <c r="U112" s="77"/>
    </row>
    <row r="113" spans="1:21" ht="18.75" customHeight="1" x14ac:dyDescent="0.2">
      <c r="A113" s="76"/>
      <c r="B113" s="77"/>
      <c r="C113" s="78"/>
      <c r="D113" s="79"/>
      <c r="E113" s="99"/>
      <c r="F113" s="78"/>
      <c r="G113" s="80"/>
      <c r="H113" s="4"/>
      <c r="I113" s="76"/>
      <c r="J113" s="78"/>
      <c r="K113" s="78"/>
      <c r="L113" s="78"/>
      <c r="M113" s="78"/>
      <c r="N113" s="81"/>
      <c r="O113" s="78"/>
      <c r="P113" s="82"/>
      <c r="Q113" s="4"/>
      <c r="R113" s="78"/>
      <c r="S113" s="83"/>
      <c r="T113" s="4"/>
      <c r="U113" s="77"/>
    </row>
    <row r="114" spans="1:21" ht="18.75" customHeight="1" x14ac:dyDescent="0.2">
      <c r="A114" s="76"/>
      <c r="B114" s="77"/>
      <c r="C114" s="78"/>
      <c r="D114" s="79"/>
      <c r="E114" s="99"/>
      <c r="F114" s="78"/>
      <c r="G114" s="80"/>
      <c r="H114" s="4"/>
      <c r="I114" s="76"/>
      <c r="J114" s="78"/>
      <c r="K114" s="78"/>
      <c r="L114" s="78"/>
      <c r="M114" s="78"/>
      <c r="N114" s="81"/>
      <c r="O114" s="78"/>
      <c r="P114" s="82"/>
      <c r="Q114" s="4"/>
      <c r="R114" s="78"/>
      <c r="S114" s="83"/>
      <c r="T114" s="4"/>
      <c r="U114" s="77"/>
    </row>
    <row r="115" spans="1:21" ht="18.75" customHeight="1" x14ac:dyDescent="0.2">
      <c r="A115" s="76"/>
      <c r="B115" s="77"/>
      <c r="C115" s="78"/>
      <c r="D115" s="79"/>
      <c r="E115" s="99"/>
      <c r="F115" s="78"/>
      <c r="G115" s="80"/>
      <c r="H115" s="4"/>
      <c r="I115" s="76"/>
      <c r="J115" s="78"/>
      <c r="K115" s="78"/>
      <c r="L115" s="78"/>
      <c r="M115" s="78"/>
      <c r="N115" s="81"/>
      <c r="O115" s="78"/>
      <c r="P115" s="82"/>
      <c r="Q115" s="4"/>
      <c r="R115" s="78"/>
      <c r="S115" s="83"/>
      <c r="T115" s="4"/>
      <c r="U115" s="77"/>
    </row>
    <row r="116" spans="1:21" ht="18.75" customHeight="1" x14ac:dyDescent="0.2">
      <c r="A116" s="76"/>
      <c r="B116" s="77"/>
      <c r="C116" s="78"/>
      <c r="D116" s="79"/>
      <c r="E116" s="99"/>
      <c r="F116" s="78"/>
      <c r="G116" s="80"/>
      <c r="H116" s="4"/>
      <c r="I116" s="76"/>
      <c r="J116" s="78"/>
      <c r="K116" s="78"/>
      <c r="L116" s="78"/>
      <c r="M116" s="78"/>
      <c r="N116" s="81"/>
      <c r="O116" s="78"/>
      <c r="P116" s="82"/>
      <c r="Q116" s="4"/>
      <c r="R116" s="78"/>
      <c r="S116" s="83"/>
      <c r="T116" s="4"/>
      <c r="U116" s="77"/>
    </row>
    <row r="117" spans="1:21" ht="18.75" customHeight="1" x14ac:dyDescent="0.2">
      <c r="A117" s="76"/>
      <c r="B117" s="77"/>
      <c r="C117" s="78"/>
      <c r="D117" s="79"/>
      <c r="E117" s="99"/>
      <c r="F117" s="78"/>
      <c r="G117" s="80"/>
      <c r="H117" s="4"/>
      <c r="I117" s="76"/>
      <c r="J117" s="78"/>
      <c r="K117" s="78"/>
      <c r="L117" s="78"/>
      <c r="M117" s="78"/>
      <c r="N117" s="81"/>
      <c r="O117" s="78"/>
      <c r="P117" s="82"/>
      <c r="Q117" s="4"/>
      <c r="R117" s="78"/>
      <c r="S117" s="83"/>
      <c r="T117" s="4"/>
      <c r="U117" s="77"/>
    </row>
    <row r="118" spans="1:21" ht="18.75" customHeight="1" x14ac:dyDescent="0.2">
      <c r="A118" s="76"/>
      <c r="B118" s="77"/>
      <c r="C118" s="78"/>
      <c r="D118" s="79"/>
      <c r="E118" s="99"/>
      <c r="F118" s="78"/>
      <c r="G118" s="80"/>
      <c r="H118" s="4"/>
      <c r="I118" s="76"/>
      <c r="J118" s="78"/>
      <c r="K118" s="78"/>
      <c r="L118" s="78"/>
      <c r="M118" s="78"/>
      <c r="N118" s="81"/>
      <c r="O118" s="78"/>
      <c r="P118" s="82"/>
      <c r="Q118" s="4"/>
      <c r="R118" s="78"/>
      <c r="S118" s="83"/>
      <c r="T118" s="4"/>
      <c r="U118" s="77"/>
    </row>
    <row r="119" spans="1:21" ht="18.75" customHeight="1" x14ac:dyDescent="0.2">
      <c r="A119" s="76"/>
      <c r="B119" s="77"/>
      <c r="C119" s="78"/>
      <c r="D119" s="79"/>
      <c r="E119" s="99"/>
      <c r="F119" s="78"/>
      <c r="G119" s="80"/>
      <c r="H119" s="4"/>
      <c r="I119" s="76"/>
      <c r="J119" s="78"/>
      <c r="K119" s="78"/>
      <c r="L119" s="78"/>
      <c r="M119" s="78"/>
      <c r="N119" s="81"/>
      <c r="O119" s="78"/>
      <c r="P119" s="82"/>
      <c r="Q119" s="4"/>
      <c r="R119" s="78"/>
      <c r="S119" s="83"/>
      <c r="T119" s="4"/>
      <c r="U119" s="77"/>
    </row>
    <row r="120" spans="1:21" ht="18.75" customHeight="1" x14ac:dyDescent="0.2">
      <c r="A120" s="76"/>
      <c r="B120" s="77"/>
      <c r="C120" s="78"/>
      <c r="D120" s="79"/>
      <c r="E120" s="99"/>
      <c r="F120" s="78"/>
      <c r="G120" s="80"/>
      <c r="H120" s="4"/>
      <c r="I120" s="76"/>
      <c r="J120" s="78"/>
      <c r="K120" s="78"/>
      <c r="L120" s="78"/>
      <c r="M120" s="78"/>
      <c r="N120" s="81"/>
      <c r="O120" s="78"/>
      <c r="P120" s="82"/>
      <c r="Q120" s="4"/>
      <c r="R120" s="78"/>
      <c r="S120" s="83"/>
      <c r="T120" s="4"/>
      <c r="U120" s="77"/>
    </row>
    <row r="121" spans="1:21" ht="18.75" customHeight="1" x14ac:dyDescent="0.2">
      <c r="A121" s="76"/>
      <c r="B121" s="77"/>
      <c r="C121" s="78"/>
      <c r="D121" s="79"/>
      <c r="E121" s="99"/>
      <c r="F121" s="78"/>
      <c r="G121" s="80"/>
      <c r="H121" s="4"/>
      <c r="I121" s="76"/>
      <c r="J121" s="78"/>
      <c r="K121" s="78"/>
      <c r="L121" s="78"/>
      <c r="M121" s="78"/>
      <c r="N121" s="81"/>
      <c r="O121" s="78"/>
      <c r="P121" s="82"/>
      <c r="Q121" s="4"/>
      <c r="R121" s="78"/>
      <c r="S121" s="83"/>
      <c r="T121" s="4"/>
      <c r="U121" s="77"/>
    </row>
    <row r="122" spans="1:21" ht="18.75" customHeight="1" x14ac:dyDescent="0.2">
      <c r="A122" s="76"/>
      <c r="B122" s="77"/>
      <c r="C122" s="78"/>
      <c r="D122" s="79"/>
      <c r="E122" s="99"/>
      <c r="F122" s="78"/>
      <c r="G122" s="80"/>
      <c r="H122" s="4"/>
      <c r="I122" s="76"/>
      <c r="J122" s="78"/>
      <c r="K122" s="78"/>
      <c r="L122" s="78"/>
      <c r="M122" s="78"/>
      <c r="N122" s="81"/>
      <c r="O122" s="78"/>
      <c r="P122" s="82"/>
      <c r="Q122" s="4"/>
      <c r="R122" s="78"/>
      <c r="S122" s="83"/>
      <c r="T122" s="4"/>
      <c r="U122" s="77"/>
    </row>
    <row r="123" spans="1:21" ht="18.75" customHeight="1" x14ac:dyDescent="0.2">
      <c r="A123" s="76"/>
      <c r="B123" s="77"/>
      <c r="C123" s="78"/>
      <c r="D123" s="79"/>
      <c r="E123" s="99"/>
      <c r="F123" s="78"/>
      <c r="G123" s="80"/>
      <c r="H123" s="4"/>
      <c r="I123" s="76"/>
      <c r="J123" s="78"/>
      <c r="K123" s="78"/>
      <c r="L123" s="78"/>
      <c r="M123" s="78"/>
      <c r="N123" s="81"/>
      <c r="O123" s="78"/>
      <c r="P123" s="82"/>
      <c r="Q123" s="4"/>
      <c r="R123" s="78"/>
      <c r="S123" s="83"/>
      <c r="T123" s="4"/>
      <c r="U123" s="77"/>
    </row>
    <row r="124" spans="1:21" ht="18.75" customHeight="1" x14ac:dyDescent="0.2">
      <c r="A124" s="76"/>
      <c r="B124" s="77"/>
      <c r="C124" s="78"/>
      <c r="D124" s="79"/>
      <c r="E124" s="99"/>
      <c r="F124" s="78"/>
      <c r="G124" s="80"/>
      <c r="H124" s="4"/>
      <c r="I124" s="76"/>
      <c r="J124" s="78"/>
      <c r="K124" s="78"/>
      <c r="L124" s="78"/>
      <c r="M124" s="78"/>
      <c r="N124" s="81"/>
      <c r="O124" s="78"/>
      <c r="P124" s="82"/>
      <c r="Q124" s="4"/>
      <c r="R124" s="78"/>
      <c r="S124" s="83"/>
      <c r="T124" s="4"/>
      <c r="U124" s="77"/>
    </row>
    <row r="125" spans="1:21" ht="18.75" customHeight="1" x14ac:dyDescent="0.2">
      <c r="A125" s="76"/>
      <c r="B125" s="77"/>
      <c r="C125" s="78"/>
      <c r="D125" s="79"/>
      <c r="E125" s="99"/>
      <c r="F125" s="78"/>
      <c r="G125" s="80"/>
      <c r="H125" s="4"/>
      <c r="I125" s="76"/>
      <c r="J125" s="78"/>
      <c r="K125" s="78"/>
      <c r="L125" s="78"/>
      <c r="M125" s="78"/>
      <c r="N125" s="81"/>
      <c r="O125" s="78"/>
      <c r="P125" s="82"/>
      <c r="Q125" s="4"/>
      <c r="R125" s="78"/>
      <c r="S125" s="83"/>
      <c r="T125" s="4"/>
      <c r="U125" s="77"/>
    </row>
    <row r="126" spans="1:21" ht="18.75" customHeight="1" x14ac:dyDescent="0.2">
      <c r="A126" s="76"/>
      <c r="B126" s="77"/>
      <c r="C126" s="78"/>
      <c r="D126" s="79"/>
      <c r="E126" s="99"/>
      <c r="F126" s="78"/>
      <c r="G126" s="80"/>
      <c r="H126" s="4"/>
      <c r="I126" s="76"/>
      <c r="J126" s="78"/>
      <c r="K126" s="78"/>
      <c r="L126" s="78"/>
      <c r="M126" s="78"/>
      <c r="N126" s="81"/>
      <c r="O126" s="78"/>
      <c r="P126" s="82"/>
      <c r="Q126" s="4"/>
      <c r="R126" s="78"/>
      <c r="S126" s="83"/>
      <c r="T126" s="4"/>
      <c r="U126" s="77"/>
    </row>
    <row r="127" spans="1:21" ht="18.75" customHeight="1" x14ac:dyDescent="0.2">
      <c r="A127" s="76"/>
      <c r="B127" s="77"/>
      <c r="C127" s="78"/>
      <c r="D127" s="79"/>
      <c r="E127" s="99"/>
      <c r="F127" s="78"/>
      <c r="G127" s="80"/>
      <c r="H127" s="4"/>
      <c r="I127" s="76"/>
      <c r="J127" s="78"/>
      <c r="K127" s="78"/>
      <c r="L127" s="78"/>
      <c r="M127" s="78"/>
      <c r="N127" s="81"/>
      <c r="O127" s="78"/>
      <c r="P127" s="82"/>
      <c r="Q127" s="4"/>
      <c r="R127" s="78"/>
      <c r="S127" s="83"/>
      <c r="T127" s="4"/>
      <c r="U127" s="77"/>
    </row>
    <row r="128" spans="1:21" ht="18.75" customHeight="1" x14ac:dyDescent="0.2">
      <c r="A128" s="76"/>
      <c r="B128" s="77"/>
      <c r="C128" s="78"/>
      <c r="D128" s="79"/>
      <c r="E128" s="99"/>
      <c r="F128" s="78"/>
      <c r="G128" s="80"/>
      <c r="H128" s="4"/>
      <c r="I128" s="76"/>
      <c r="J128" s="78"/>
      <c r="K128" s="78"/>
      <c r="L128" s="78"/>
      <c r="M128" s="78"/>
      <c r="N128" s="81"/>
      <c r="O128" s="78"/>
      <c r="P128" s="82"/>
      <c r="Q128" s="4"/>
      <c r="R128" s="78"/>
      <c r="S128" s="83"/>
      <c r="T128" s="4"/>
      <c r="U128" s="77"/>
    </row>
    <row r="129" spans="1:21" ht="18.75" customHeight="1" x14ac:dyDescent="0.2">
      <c r="A129" s="76"/>
      <c r="B129" s="77"/>
      <c r="C129" s="78"/>
      <c r="D129" s="79"/>
      <c r="E129" s="99"/>
      <c r="F129" s="78"/>
      <c r="G129" s="80"/>
      <c r="H129" s="4"/>
      <c r="I129" s="76"/>
      <c r="J129" s="78"/>
      <c r="K129" s="78"/>
      <c r="L129" s="78"/>
      <c r="M129" s="78"/>
      <c r="N129" s="81"/>
      <c r="O129" s="78"/>
      <c r="P129" s="82"/>
      <c r="Q129" s="4"/>
      <c r="R129" s="78"/>
      <c r="S129" s="83"/>
      <c r="T129" s="4"/>
      <c r="U129" s="77"/>
    </row>
    <row r="130" spans="1:21" ht="18.75" customHeight="1" x14ac:dyDescent="0.2">
      <c r="A130" s="76"/>
      <c r="B130" s="77"/>
      <c r="C130" s="78"/>
      <c r="D130" s="79"/>
      <c r="E130" s="99"/>
      <c r="F130" s="78"/>
      <c r="G130" s="80"/>
      <c r="H130" s="4"/>
      <c r="I130" s="76"/>
      <c r="J130" s="78"/>
      <c r="K130" s="78"/>
      <c r="L130" s="78"/>
      <c r="M130" s="78"/>
      <c r="N130" s="81"/>
      <c r="O130" s="78"/>
      <c r="P130" s="82"/>
      <c r="Q130" s="4"/>
      <c r="R130" s="78"/>
      <c r="S130" s="83"/>
      <c r="T130" s="4"/>
      <c r="U130" s="77"/>
    </row>
    <row r="131" spans="1:21" ht="18.75" customHeight="1" x14ac:dyDescent="0.2">
      <c r="A131" s="76"/>
      <c r="B131" s="77"/>
      <c r="C131" s="78"/>
      <c r="D131" s="79"/>
      <c r="E131" s="99"/>
      <c r="F131" s="78"/>
      <c r="G131" s="80"/>
      <c r="H131" s="4"/>
      <c r="I131" s="76"/>
      <c r="J131" s="78"/>
      <c r="K131" s="78"/>
      <c r="L131" s="78"/>
      <c r="M131" s="78"/>
      <c r="N131" s="81"/>
      <c r="O131" s="78"/>
      <c r="P131" s="82"/>
      <c r="Q131" s="4"/>
      <c r="R131" s="78"/>
      <c r="S131" s="83"/>
      <c r="T131" s="4"/>
      <c r="U131" s="77"/>
    </row>
    <row r="132" spans="1:21" ht="18.75" customHeight="1" x14ac:dyDescent="0.2">
      <c r="A132" s="76"/>
      <c r="B132" s="77"/>
      <c r="C132" s="78"/>
      <c r="D132" s="79"/>
      <c r="E132" s="99"/>
      <c r="F132" s="78"/>
      <c r="G132" s="80"/>
      <c r="H132" s="4"/>
      <c r="I132" s="76"/>
      <c r="J132" s="78"/>
      <c r="K132" s="78"/>
      <c r="L132" s="78"/>
      <c r="M132" s="78"/>
      <c r="N132" s="81"/>
      <c r="O132" s="78"/>
      <c r="P132" s="82"/>
      <c r="Q132" s="4"/>
      <c r="R132" s="78"/>
      <c r="S132" s="83"/>
      <c r="T132" s="4"/>
      <c r="U132" s="77"/>
    </row>
    <row r="133" spans="1:21" ht="18.75" customHeight="1" x14ac:dyDescent="0.2">
      <c r="A133" s="76"/>
      <c r="B133" s="77"/>
      <c r="C133" s="78"/>
      <c r="D133" s="79"/>
      <c r="E133" s="99"/>
      <c r="F133" s="78"/>
      <c r="G133" s="80"/>
      <c r="H133" s="4"/>
      <c r="I133" s="76"/>
      <c r="J133" s="78"/>
      <c r="K133" s="78"/>
      <c r="L133" s="78"/>
      <c r="M133" s="78"/>
      <c r="N133" s="81"/>
      <c r="O133" s="78"/>
      <c r="P133" s="82"/>
      <c r="Q133" s="4"/>
      <c r="R133" s="78"/>
      <c r="S133" s="83"/>
      <c r="T133" s="4"/>
      <c r="U133" s="77"/>
    </row>
    <row r="134" spans="1:21" ht="18.75" customHeight="1" x14ac:dyDescent="0.2">
      <c r="A134" s="76"/>
      <c r="B134" s="77"/>
      <c r="C134" s="78"/>
      <c r="D134" s="79"/>
      <c r="E134" s="99"/>
      <c r="F134" s="78"/>
      <c r="G134" s="80"/>
      <c r="H134" s="4"/>
      <c r="I134" s="76"/>
      <c r="J134" s="78"/>
      <c r="K134" s="78"/>
      <c r="L134" s="78"/>
      <c r="M134" s="78"/>
      <c r="N134" s="81"/>
      <c r="O134" s="78"/>
      <c r="P134" s="82"/>
      <c r="Q134" s="4"/>
      <c r="R134" s="78"/>
      <c r="S134" s="83"/>
      <c r="T134" s="4"/>
      <c r="U134" s="77"/>
    </row>
    <row r="135" spans="1:21" ht="18.75" customHeight="1" x14ac:dyDescent="0.2">
      <c r="A135" s="76"/>
      <c r="B135" s="77"/>
      <c r="C135" s="78"/>
      <c r="D135" s="79"/>
      <c r="E135" s="99"/>
      <c r="F135" s="78"/>
      <c r="G135" s="80"/>
      <c r="H135" s="4"/>
      <c r="I135" s="76"/>
      <c r="J135" s="78"/>
      <c r="K135" s="78"/>
      <c r="L135" s="78"/>
      <c r="M135" s="78"/>
      <c r="N135" s="81"/>
      <c r="O135" s="78"/>
      <c r="P135" s="82"/>
      <c r="Q135" s="4"/>
      <c r="R135" s="78"/>
      <c r="S135" s="83"/>
      <c r="T135" s="4"/>
      <c r="U135" s="77"/>
    </row>
    <row r="136" spans="1:21" ht="18.75" customHeight="1" x14ac:dyDescent="0.2">
      <c r="A136" s="76"/>
      <c r="B136" s="77"/>
      <c r="C136" s="78"/>
      <c r="D136" s="79"/>
      <c r="E136" s="99"/>
      <c r="F136" s="78"/>
      <c r="G136" s="80"/>
      <c r="H136" s="4"/>
      <c r="I136" s="76"/>
      <c r="J136" s="78"/>
      <c r="K136" s="78"/>
      <c r="L136" s="78"/>
      <c r="M136" s="78"/>
      <c r="N136" s="81"/>
      <c r="O136" s="78"/>
      <c r="P136" s="82"/>
      <c r="Q136" s="4"/>
      <c r="R136" s="78"/>
      <c r="S136" s="83"/>
      <c r="T136" s="4"/>
      <c r="U136" s="77"/>
    </row>
    <row r="137" spans="1:21" ht="18.75" customHeight="1" x14ac:dyDescent="0.2">
      <c r="A137" s="76"/>
      <c r="B137" s="77"/>
      <c r="C137" s="78"/>
      <c r="D137" s="79"/>
      <c r="E137" s="99"/>
      <c r="F137" s="78"/>
      <c r="G137" s="80"/>
      <c r="H137" s="4"/>
      <c r="I137" s="76"/>
      <c r="J137" s="78"/>
      <c r="K137" s="78"/>
      <c r="L137" s="78"/>
      <c r="M137" s="78"/>
      <c r="N137" s="81"/>
      <c r="O137" s="78"/>
      <c r="P137" s="82"/>
      <c r="Q137" s="4"/>
      <c r="R137" s="78"/>
      <c r="S137" s="83"/>
      <c r="T137" s="4"/>
      <c r="U137" s="77"/>
    </row>
    <row r="138" spans="1:21" ht="18.75" customHeight="1" x14ac:dyDescent="0.2">
      <c r="A138" s="76"/>
      <c r="B138" s="77"/>
      <c r="C138" s="78"/>
      <c r="D138" s="79"/>
      <c r="E138" s="99"/>
      <c r="F138" s="78"/>
      <c r="G138" s="80"/>
      <c r="H138" s="4"/>
      <c r="I138" s="76"/>
      <c r="J138" s="78"/>
      <c r="K138" s="78"/>
      <c r="L138" s="78"/>
      <c r="M138" s="78"/>
      <c r="N138" s="81"/>
      <c r="O138" s="78"/>
      <c r="P138" s="82"/>
      <c r="Q138" s="4"/>
      <c r="R138" s="78"/>
      <c r="S138" s="83"/>
      <c r="T138" s="4"/>
      <c r="U138" s="77"/>
    </row>
    <row r="139" spans="1:21" ht="18.75" customHeight="1" x14ac:dyDescent="0.2">
      <c r="A139" s="76"/>
      <c r="B139" s="77"/>
      <c r="C139" s="78"/>
      <c r="D139" s="79"/>
      <c r="E139" s="99"/>
      <c r="F139" s="78"/>
      <c r="G139" s="80"/>
      <c r="H139" s="4"/>
      <c r="I139" s="76"/>
      <c r="J139" s="78"/>
      <c r="K139" s="78"/>
      <c r="L139" s="78"/>
      <c r="M139" s="78"/>
      <c r="N139" s="81"/>
      <c r="O139" s="78"/>
      <c r="P139" s="82"/>
      <c r="Q139" s="4"/>
      <c r="R139" s="78"/>
      <c r="S139" s="83"/>
      <c r="T139" s="4"/>
      <c r="U139" s="77"/>
    </row>
    <row r="140" spans="1:21" ht="18.75" customHeight="1" x14ac:dyDescent="0.2">
      <c r="A140" s="76"/>
      <c r="B140" s="77"/>
      <c r="C140" s="78"/>
      <c r="D140" s="79"/>
      <c r="E140" s="99"/>
      <c r="F140" s="78"/>
      <c r="G140" s="80"/>
      <c r="H140" s="4"/>
      <c r="I140" s="76"/>
      <c r="J140" s="78"/>
      <c r="K140" s="78"/>
      <c r="L140" s="78"/>
      <c r="M140" s="78"/>
      <c r="N140" s="81"/>
      <c r="O140" s="78"/>
      <c r="P140" s="82"/>
      <c r="Q140" s="4"/>
      <c r="R140" s="78"/>
      <c r="S140" s="83"/>
      <c r="T140" s="4"/>
      <c r="U140" s="77"/>
    </row>
    <row r="141" spans="1:21" ht="18.75" customHeight="1" x14ac:dyDescent="0.2">
      <c r="A141" s="76"/>
      <c r="B141" s="77"/>
      <c r="C141" s="78"/>
      <c r="D141" s="79"/>
      <c r="E141" s="99"/>
      <c r="F141" s="78"/>
      <c r="G141" s="80"/>
      <c r="H141" s="4"/>
      <c r="I141" s="76"/>
      <c r="J141" s="78"/>
      <c r="K141" s="78"/>
      <c r="L141" s="78"/>
      <c r="M141" s="78"/>
      <c r="N141" s="81"/>
      <c r="O141" s="78"/>
      <c r="P141" s="82"/>
      <c r="Q141" s="4"/>
      <c r="R141" s="78"/>
      <c r="S141" s="83"/>
      <c r="T141" s="4"/>
      <c r="U141" s="77"/>
    </row>
    <row r="142" spans="1:21" ht="18.75" customHeight="1" x14ac:dyDescent="0.2">
      <c r="A142" s="76"/>
      <c r="B142" s="77"/>
      <c r="C142" s="78"/>
      <c r="D142" s="79"/>
      <c r="E142" s="99"/>
      <c r="F142" s="78"/>
      <c r="G142" s="80"/>
      <c r="H142" s="4"/>
      <c r="I142" s="76"/>
      <c r="J142" s="78"/>
      <c r="K142" s="78"/>
      <c r="L142" s="78"/>
      <c r="M142" s="78"/>
      <c r="N142" s="81"/>
      <c r="O142" s="78"/>
      <c r="P142" s="82"/>
      <c r="Q142" s="4"/>
      <c r="R142" s="78"/>
      <c r="S142" s="83"/>
      <c r="T142" s="4"/>
      <c r="U142" s="77"/>
    </row>
    <row r="143" spans="1:21" ht="18.75" customHeight="1" x14ac:dyDescent="0.2">
      <c r="A143" s="76"/>
      <c r="B143" s="77"/>
      <c r="C143" s="78"/>
      <c r="D143" s="79"/>
      <c r="E143" s="99"/>
      <c r="F143" s="78"/>
      <c r="G143" s="80"/>
      <c r="H143" s="4"/>
      <c r="I143" s="76"/>
      <c r="J143" s="78"/>
      <c r="K143" s="78"/>
      <c r="L143" s="78"/>
      <c r="M143" s="78"/>
      <c r="N143" s="81"/>
      <c r="O143" s="78"/>
      <c r="P143" s="82"/>
      <c r="Q143" s="4"/>
      <c r="R143" s="78"/>
      <c r="S143" s="83"/>
      <c r="T143" s="4"/>
      <c r="U143" s="77"/>
    </row>
    <row r="144" spans="1:21" ht="18.75" customHeight="1" x14ac:dyDescent="0.2">
      <c r="A144" s="76"/>
      <c r="B144" s="77"/>
      <c r="C144" s="78"/>
      <c r="D144" s="79"/>
      <c r="E144" s="99"/>
      <c r="F144" s="78"/>
      <c r="G144" s="80"/>
      <c r="H144" s="4"/>
      <c r="I144" s="76"/>
      <c r="J144" s="78"/>
      <c r="K144" s="78"/>
      <c r="L144" s="78"/>
      <c r="M144" s="78"/>
      <c r="N144" s="81"/>
      <c r="O144" s="78"/>
      <c r="P144" s="82"/>
      <c r="Q144" s="4"/>
      <c r="R144" s="78"/>
      <c r="S144" s="83"/>
      <c r="T144" s="4"/>
      <c r="U144" s="77"/>
    </row>
    <row r="145" spans="1:21" ht="18.75" customHeight="1" x14ac:dyDescent="0.2">
      <c r="A145" s="76"/>
      <c r="B145" s="77"/>
      <c r="C145" s="78"/>
      <c r="D145" s="79"/>
      <c r="E145" s="99"/>
      <c r="F145" s="78"/>
      <c r="G145" s="80"/>
      <c r="H145" s="4"/>
      <c r="I145" s="76"/>
      <c r="J145" s="78"/>
      <c r="K145" s="78"/>
      <c r="L145" s="78"/>
      <c r="M145" s="78"/>
      <c r="N145" s="81"/>
      <c r="O145" s="78"/>
      <c r="P145" s="82"/>
      <c r="Q145" s="4"/>
      <c r="R145" s="78"/>
      <c r="S145" s="83"/>
      <c r="T145" s="4"/>
      <c r="U145" s="77"/>
    </row>
    <row r="146" spans="1:21" ht="18.75" customHeight="1" x14ac:dyDescent="0.2">
      <c r="A146" s="76"/>
      <c r="B146" s="77"/>
      <c r="C146" s="78"/>
      <c r="D146" s="79"/>
      <c r="E146" s="99"/>
      <c r="F146" s="78"/>
      <c r="G146" s="80"/>
      <c r="H146" s="4"/>
      <c r="I146" s="76"/>
      <c r="J146" s="78"/>
      <c r="K146" s="78"/>
      <c r="L146" s="78"/>
      <c r="M146" s="78"/>
      <c r="N146" s="81"/>
      <c r="O146" s="78"/>
      <c r="P146" s="82"/>
      <c r="Q146" s="4"/>
      <c r="R146" s="78"/>
      <c r="S146" s="83"/>
      <c r="T146" s="4"/>
      <c r="U146" s="77"/>
    </row>
    <row r="147" spans="1:21" ht="18.75" customHeight="1" x14ac:dyDescent="0.2">
      <c r="A147" s="76"/>
      <c r="B147" s="77"/>
      <c r="C147" s="78"/>
      <c r="D147" s="79"/>
      <c r="E147" s="99"/>
      <c r="F147" s="78"/>
      <c r="G147" s="80"/>
      <c r="H147" s="4"/>
      <c r="I147" s="76"/>
      <c r="J147" s="78"/>
      <c r="K147" s="78"/>
      <c r="L147" s="78"/>
      <c r="M147" s="78"/>
      <c r="N147" s="81"/>
      <c r="O147" s="78"/>
      <c r="P147" s="82"/>
      <c r="Q147" s="4"/>
      <c r="R147" s="78"/>
      <c r="S147" s="83"/>
      <c r="T147" s="4"/>
      <c r="U147" s="77"/>
    </row>
    <row r="148" spans="1:21" ht="18.75" customHeight="1" x14ac:dyDescent="0.2">
      <c r="A148" s="76"/>
      <c r="B148" s="77"/>
      <c r="C148" s="78"/>
      <c r="D148" s="79"/>
      <c r="E148" s="99"/>
      <c r="F148" s="78"/>
      <c r="G148" s="80"/>
      <c r="H148" s="4"/>
      <c r="I148" s="76"/>
      <c r="J148" s="78"/>
      <c r="K148" s="78"/>
      <c r="L148" s="78"/>
      <c r="M148" s="78"/>
      <c r="N148" s="81"/>
      <c r="O148" s="78"/>
      <c r="P148" s="82"/>
      <c r="Q148" s="4"/>
      <c r="R148" s="78"/>
      <c r="S148" s="83"/>
      <c r="T148" s="4"/>
      <c r="U148" s="77"/>
    </row>
    <row r="149" spans="1:21" ht="18.75" customHeight="1" x14ac:dyDescent="0.2">
      <c r="A149" s="76"/>
      <c r="B149" s="77"/>
      <c r="C149" s="78"/>
      <c r="D149" s="79"/>
      <c r="E149" s="99"/>
      <c r="F149" s="78"/>
      <c r="G149" s="80"/>
      <c r="H149" s="4"/>
      <c r="I149" s="76"/>
      <c r="J149" s="78"/>
      <c r="K149" s="78"/>
      <c r="L149" s="78"/>
      <c r="M149" s="78"/>
      <c r="N149" s="81"/>
      <c r="O149" s="78"/>
      <c r="P149" s="82"/>
      <c r="Q149" s="4"/>
      <c r="R149" s="78"/>
      <c r="S149" s="83"/>
      <c r="T149" s="4"/>
      <c r="U149" s="77"/>
    </row>
    <row r="150" spans="1:21" ht="18.75" customHeight="1" x14ac:dyDescent="0.2">
      <c r="A150" s="76"/>
      <c r="B150" s="77"/>
      <c r="C150" s="78"/>
      <c r="D150" s="79"/>
      <c r="E150" s="99"/>
      <c r="F150" s="78"/>
      <c r="G150" s="80"/>
      <c r="H150" s="4"/>
      <c r="I150" s="76"/>
      <c r="J150" s="78"/>
      <c r="K150" s="78"/>
      <c r="L150" s="78"/>
      <c r="M150" s="78"/>
      <c r="N150" s="81"/>
      <c r="O150" s="78"/>
      <c r="P150" s="82"/>
      <c r="Q150" s="4"/>
      <c r="R150" s="78"/>
      <c r="S150" s="83"/>
      <c r="T150" s="4"/>
      <c r="U150" s="77"/>
    </row>
    <row r="151" spans="1:21" ht="18.75" customHeight="1" x14ac:dyDescent="0.2">
      <c r="A151" s="76"/>
      <c r="B151" s="77"/>
      <c r="C151" s="78"/>
      <c r="D151" s="79"/>
      <c r="E151" s="99"/>
      <c r="F151" s="78"/>
      <c r="G151" s="80"/>
      <c r="H151" s="4"/>
      <c r="I151" s="76"/>
      <c r="J151" s="78"/>
      <c r="K151" s="78"/>
      <c r="L151" s="78"/>
      <c r="M151" s="78"/>
      <c r="N151" s="81"/>
      <c r="O151" s="78"/>
      <c r="P151" s="82"/>
      <c r="Q151" s="4"/>
      <c r="R151" s="78"/>
      <c r="S151" s="83"/>
      <c r="T151" s="4"/>
      <c r="U151" s="77"/>
    </row>
    <row r="152" spans="1:21" ht="18.75" customHeight="1" x14ac:dyDescent="0.2">
      <c r="A152" s="76"/>
      <c r="B152" s="77"/>
      <c r="C152" s="78"/>
      <c r="D152" s="79"/>
      <c r="E152" s="99"/>
      <c r="F152" s="78"/>
      <c r="G152" s="80"/>
      <c r="H152" s="4"/>
      <c r="I152" s="76"/>
      <c r="J152" s="78"/>
      <c r="K152" s="78"/>
      <c r="L152" s="78"/>
      <c r="M152" s="78"/>
      <c r="N152" s="81"/>
      <c r="O152" s="78"/>
      <c r="P152" s="82"/>
      <c r="Q152" s="4"/>
      <c r="R152" s="78"/>
      <c r="S152" s="83"/>
      <c r="T152" s="4"/>
      <c r="U152" s="77"/>
    </row>
    <row r="153" spans="1:21" ht="18.75" customHeight="1" x14ac:dyDescent="0.2">
      <c r="A153" s="76"/>
      <c r="B153" s="77"/>
      <c r="C153" s="78"/>
      <c r="D153" s="79"/>
      <c r="E153" s="99"/>
      <c r="F153" s="78"/>
      <c r="G153" s="80"/>
      <c r="H153" s="4"/>
      <c r="I153" s="76"/>
      <c r="J153" s="78"/>
      <c r="K153" s="78"/>
      <c r="L153" s="78"/>
      <c r="M153" s="78"/>
      <c r="N153" s="81"/>
      <c r="O153" s="78"/>
      <c r="P153" s="82"/>
      <c r="Q153" s="4"/>
      <c r="R153" s="78"/>
      <c r="S153" s="83"/>
      <c r="T153" s="4"/>
      <c r="U153" s="77"/>
    </row>
    <row r="154" spans="1:21" ht="18.75" customHeight="1" x14ac:dyDescent="0.2">
      <c r="A154" s="76"/>
      <c r="B154" s="77"/>
      <c r="C154" s="78"/>
      <c r="D154" s="79"/>
      <c r="E154" s="99"/>
      <c r="F154" s="78"/>
      <c r="G154" s="80"/>
      <c r="H154" s="4"/>
      <c r="I154" s="76"/>
      <c r="J154" s="78"/>
      <c r="K154" s="78"/>
      <c r="L154" s="78"/>
      <c r="M154" s="78"/>
      <c r="N154" s="81"/>
      <c r="O154" s="78"/>
      <c r="P154" s="82"/>
      <c r="Q154" s="4"/>
      <c r="R154" s="78"/>
      <c r="S154" s="83"/>
      <c r="T154" s="4"/>
      <c r="U154" s="77"/>
    </row>
    <row r="155" spans="1:21" ht="18.75" customHeight="1" x14ac:dyDescent="0.2">
      <c r="A155" s="76"/>
      <c r="B155" s="77"/>
      <c r="C155" s="78"/>
      <c r="D155" s="79"/>
      <c r="E155" s="99"/>
      <c r="F155" s="78"/>
      <c r="G155" s="80"/>
      <c r="H155" s="4"/>
      <c r="I155" s="76"/>
      <c r="J155" s="78"/>
      <c r="K155" s="78"/>
      <c r="L155" s="78"/>
      <c r="M155" s="78"/>
      <c r="N155" s="81"/>
      <c r="O155" s="78"/>
      <c r="P155" s="82"/>
      <c r="Q155" s="4"/>
      <c r="R155" s="78"/>
      <c r="S155" s="83"/>
      <c r="T155" s="4"/>
      <c r="U155" s="77"/>
    </row>
    <row r="156" spans="1:21" ht="18.75" customHeight="1" x14ac:dyDescent="0.2">
      <c r="A156" s="76"/>
      <c r="B156" s="77"/>
      <c r="C156" s="78"/>
      <c r="D156" s="79"/>
      <c r="E156" s="99"/>
      <c r="F156" s="78"/>
      <c r="G156" s="80"/>
      <c r="H156" s="4"/>
      <c r="I156" s="76"/>
      <c r="J156" s="78"/>
      <c r="K156" s="78"/>
      <c r="L156" s="78"/>
      <c r="M156" s="78"/>
      <c r="N156" s="81"/>
      <c r="O156" s="78"/>
      <c r="P156" s="82"/>
      <c r="Q156" s="4"/>
      <c r="R156" s="78"/>
      <c r="S156" s="83"/>
      <c r="T156" s="4"/>
      <c r="U156" s="77"/>
    </row>
    <row r="157" spans="1:21" ht="18.75" customHeight="1" x14ac:dyDescent="0.2">
      <c r="A157" s="76"/>
      <c r="B157" s="77"/>
      <c r="C157" s="78"/>
      <c r="D157" s="79"/>
      <c r="E157" s="99"/>
      <c r="F157" s="78"/>
      <c r="G157" s="80"/>
      <c r="H157" s="4"/>
      <c r="I157" s="76"/>
      <c r="J157" s="78"/>
      <c r="K157" s="78"/>
      <c r="L157" s="78"/>
      <c r="M157" s="78"/>
      <c r="N157" s="81"/>
      <c r="O157" s="78"/>
      <c r="P157" s="82"/>
      <c r="Q157" s="4"/>
      <c r="R157" s="78"/>
      <c r="S157" s="83"/>
      <c r="T157" s="4"/>
      <c r="U157" s="77"/>
    </row>
    <row r="158" spans="1:21" ht="18.75" customHeight="1" x14ac:dyDescent="0.2">
      <c r="A158" s="76"/>
      <c r="B158" s="77"/>
      <c r="C158" s="78"/>
      <c r="D158" s="79"/>
      <c r="E158" s="99"/>
      <c r="F158" s="78"/>
      <c r="G158" s="80"/>
      <c r="H158" s="4"/>
      <c r="I158" s="76"/>
      <c r="J158" s="78"/>
      <c r="K158" s="78"/>
      <c r="L158" s="78"/>
      <c r="M158" s="78"/>
      <c r="N158" s="81"/>
      <c r="O158" s="78"/>
      <c r="P158" s="82"/>
      <c r="Q158" s="4"/>
      <c r="R158" s="78"/>
      <c r="S158" s="83"/>
      <c r="T158" s="4"/>
      <c r="U158" s="77"/>
    </row>
    <row r="159" spans="1:21" ht="18.75" customHeight="1" x14ac:dyDescent="0.2">
      <c r="A159" s="76"/>
      <c r="B159" s="77"/>
      <c r="C159" s="78"/>
      <c r="D159" s="79"/>
      <c r="E159" s="99"/>
      <c r="F159" s="78"/>
      <c r="G159" s="80"/>
      <c r="H159" s="4"/>
      <c r="I159" s="76"/>
      <c r="J159" s="78"/>
      <c r="K159" s="78"/>
      <c r="L159" s="78"/>
      <c r="M159" s="78"/>
      <c r="N159" s="81"/>
      <c r="O159" s="78"/>
      <c r="P159" s="82"/>
      <c r="Q159" s="4"/>
      <c r="R159" s="78"/>
      <c r="S159" s="83"/>
      <c r="T159" s="4"/>
      <c r="U159" s="77"/>
    </row>
    <row r="160" spans="1:21" ht="18.75" customHeight="1" x14ac:dyDescent="0.2">
      <c r="A160" s="76"/>
      <c r="B160" s="77"/>
      <c r="C160" s="78"/>
      <c r="D160" s="79"/>
      <c r="E160" s="99"/>
      <c r="F160" s="78"/>
      <c r="G160" s="80"/>
      <c r="H160" s="4"/>
      <c r="I160" s="76"/>
      <c r="J160" s="78"/>
      <c r="K160" s="78"/>
      <c r="L160" s="78"/>
      <c r="M160" s="78"/>
      <c r="N160" s="81"/>
      <c r="O160" s="78"/>
      <c r="P160" s="82"/>
      <c r="Q160" s="4"/>
      <c r="R160" s="78"/>
      <c r="S160" s="83"/>
      <c r="T160" s="4"/>
      <c r="U160" s="77"/>
    </row>
    <row r="161" spans="1:21" ht="18.75" customHeight="1" x14ac:dyDescent="0.2">
      <c r="A161" s="76"/>
      <c r="B161" s="77"/>
      <c r="C161" s="78"/>
      <c r="D161" s="79"/>
      <c r="E161" s="99"/>
      <c r="F161" s="78"/>
      <c r="G161" s="80"/>
      <c r="H161" s="4"/>
      <c r="I161" s="76"/>
      <c r="J161" s="78"/>
      <c r="K161" s="78"/>
      <c r="L161" s="78"/>
      <c r="M161" s="78"/>
      <c r="N161" s="81"/>
      <c r="O161" s="78"/>
      <c r="P161" s="82"/>
      <c r="Q161" s="4"/>
      <c r="R161" s="78"/>
      <c r="S161" s="83"/>
      <c r="T161" s="4"/>
      <c r="U161" s="77"/>
    </row>
    <row r="162" spans="1:21" ht="18.75" customHeight="1" x14ac:dyDescent="0.2">
      <c r="A162" s="76"/>
      <c r="B162" s="77"/>
      <c r="C162" s="78"/>
      <c r="D162" s="79"/>
      <c r="E162" s="99"/>
      <c r="F162" s="78"/>
      <c r="G162" s="80"/>
      <c r="H162" s="4"/>
      <c r="I162" s="76"/>
      <c r="J162" s="78"/>
      <c r="K162" s="78"/>
      <c r="L162" s="78"/>
      <c r="M162" s="78"/>
      <c r="N162" s="81"/>
      <c r="O162" s="78"/>
      <c r="P162" s="82"/>
      <c r="Q162" s="4"/>
      <c r="R162" s="78"/>
      <c r="S162" s="83"/>
      <c r="T162" s="4"/>
      <c r="U162" s="77"/>
    </row>
    <row r="163" spans="1:21" ht="18.75" customHeight="1" x14ac:dyDescent="0.2">
      <c r="A163" s="76"/>
      <c r="B163" s="77"/>
      <c r="C163" s="78"/>
      <c r="D163" s="79"/>
      <c r="E163" s="99"/>
      <c r="F163" s="78"/>
      <c r="G163" s="80"/>
      <c r="H163" s="4"/>
      <c r="I163" s="76"/>
      <c r="J163" s="78"/>
      <c r="K163" s="78"/>
      <c r="L163" s="78"/>
      <c r="M163" s="78"/>
      <c r="N163" s="81"/>
      <c r="O163" s="78"/>
      <c r="P163" s="82"/>
      <c r="Q163" s="4"/>
      <c r="R163" s="78"/>
      <c r="S163" s="83"/>
      <c r="T163" s="4"/>
      <c r="U163" s="77"/>
    </row>
    <row r="164" spans="1:21" ht="18.75" customHeight="1" x14ac:dyDescent="0.2">
      <c r="A164" s="76"/>
      <c r="B164" s="77"/>
      <c r="C164" s="78"/>
      <c r="D164" s="79"/>
      <c r="E164" s="99"/>
      <c r="F164" s="78"/>
      <c r="G164" s="80"/>
      <c r="H164" s="4"/>
      <c r="I164" s="76"/>
      <c r="J164" s="78"/>
      <c r="K164" s="78"/>
      <c r="L164" s="78"/>
      <c r="M164" s="78"/>
      <c r="N164" s="81"/>
      <c r="O164" s="78"/>
      <c r="P164" s="82"/>
      <c r="Q164" s="4"/>
      <c r="R164" s="78"/>
      <c r="S164" s="83"/>
      <c r="T164" s="4"/>
      <c r="U164" s="77"/>
    </row>
    <row r="165" spans="1:21" ht="18.75" customHeight="1" x14ac:dyDescent="0.2">
      <c r="A165" s="76"/>
      <c r="B165" s="77"/>
      <c r="C165" s="78"/>
      <c r="D165" s="79"/>
      <c r="E165" s="99"/>
      <c r="F165" s="78"/>
      <c r="G165" s="80"/>
      <c r="H165" s="4"/>
      <c r="I165" s="76"/>
      <c r="J165" s="78"/>
      <c r="K165" s="78"/>
      <c r="L165" s="78"/>
      <c r="M165" s="78"/>
      <c r="N165" s="81"/>
      <c r="O165" s="78"/>
      <c r="P165" s="82"/>
      <c r="Q165" s="4"/>
      <c r="R165" s="78"/>
      <c r="S165" s="83"/>
      <c r="T165" s="4"/>
      <c r="U165" s="77"/>
    </row>
    <row r="166" spans="1:21" ht="18.75" customHeight="1" x14ac:dyDescent="0.2">
      <c r="A166" s="76"/>
      <c r="B166" s="77"/>
      <c r="C166" s="78"/>
      <c r="D166" s="79"/>
      <c r="E166" s="99"/>
      <c r="F166" s="78"/>
      <c r="G166" s="80"/>
      <c r="H166" s="4"/>
      <c r="I166" s="76"/>
      <c r="J166" s="78"/>
      <c r="K166" s="78"/>
      <c r="L166" s="78"/>
      <c r="M166" s="78"/>
      <c r="N166" s="81"/>
      <c r="O166" s="78"/>
      <c r="P166" s="82"/>
      <c r="Q166" s="4"/>
      <c r="R166" s="78"/>
      <c r="S166" s="83"/>
      <c r="T166" s="4"/>
      <c r="U166" s="77"/>
    </row>
    <row r="167" spans="1:21" ht="18.75" customHeight="1" x14ac:dyDescent="0.2">
      <c r="A167" s="76"/>
      <c r="B167" s="77"/>
      <c r="C167" s="78"/>
      <c r="D167" s="79"/>
      <c r="E167" s="99"/>
      <c r="F167" s="78"/>
      <c r="G167" s="80"/>
      <c r="H167" s="4"/>
      <c r="I167" s="76"/>
      <c r="J167" s="78"/>
      <c r="K167" s="78"/>
      <c r="L167" s="78"/>
      <c r="M167" s="78"/>
      <c r="N167" s="81"/>
      <c r="O167" s="78"/>
      <c r="P167" s="82"/>
      <c r="Q167" s="4"/>
      <c r="R167" s="78"/>
      <c r="S167" s="83"/>
      <c r="T167" s="4"/>
      <c r="U167" s="77"/>
    </row>
    <row r="168" spans="1:21" ht="18.75" customHeight="1" x14ac:dyDescent="0.2">
      <c r="A168" s="76"/>
      <c r="B168" s="77"/>
      <c r="C168" s="78"/>
      <c r="D168" s="79"/>
      <c r="E168" s="99"/>
      <c r="F168" s="78"/>
      <c r="G168" s="80"/>
      <c r="H168" s="4"/>
      <c r="I168" s="76"/>
      <c r="J168" s="78"/>
      <c r="K168" s="78"/>
      <c r="L168" s="78"/>
      <c r="M168" s="78"/>
      <c r="N168" s="81"/>
      <c r="O168" s="78"/>
      <c r="P168" s="82"/>
      <c r="Q168" s="4"/>
      <c r="R168" s="78"/>
      <c r="S168" s="83"/>
      <c r="T168" s="4"/>
      <c r="U168" s="77"/>
    </row>
    <row r="169" spans="1:21" ht="18.75" customHeight="1" x14ac:dyDescent="0.2">
      <c r="A169" s="76"/>
      <c r="B169" s="77"/>
      <c r="C169" s="78"/>
      <c r="D169" s="79"/>
      <c r="E169" s="99"/>
      <c r="F169" s="78"/>
      <c r="G169" s="80"/>
      <c r="H169" s="4"/>
      <c r="I169" s="76"/>
      <c r="J169" s="78"/>
      <c r="K169" s="78"/>
      <c r="L169" s="78"/>
      <c r="M169" s="78"/>
      <c r="N169" s="81"/>
      <c r="O169" s="78"/>
      <c r="P169" s="82"/>
      <c r="Q169" s="4"/>
      <c r="R169" s="78"/>
      <c r="S169" s="83"/>
      <c r="T169" s="4"/>
      <c r="U169" s="77"/>
    </row>
    <row r="170" spans="1:21" ht="18.75" customHeight="1" x14ac:dyDescent="0.2">
      <c r="A170" s="76"/>
      <c r="B170" s="77"/>
      <c r="C170" s="78"/>
      <c r="D170" s="79"/>
      <c r="E170" s="99"/>
      <c r="F170" s="78"/>
      <c r="G170" s="80"/>
      <c r="H170" s="4"/>
      <c r="I170" s="76"/>
      <c r="J170" s="78"/>
      <c r="K170" s="78"/>
      <c r="L170" s="78"/>
      <c r="M170" s="78"/>
      <c r="N170" s="81"/>
      <c r="O170" s="78"/>
      <c r="P170" s="82"/>
      <c r="Q170" s="4"/>
      <c r="R170" s="78"/>
      <c r="S170" s="83"/>
      <c r="T170" s="4"/>
      <c r="U170" s="77"/>
    </row>
    <row r="171" spans="1:21" ht="18.75" customHeight="1" x14ac:dyDescent="0.2">
      <c r="A171" s="76"/>
      <c r="B171" s="77"/>
      <c r="C171" s="78"/>
      <c r="D171" s="79"/>
      <c r="E171" s="99"/>
      <c r="F171" s="78"/>
      <c r="G171" s="80"/>
      <c r="H171" s="4"/>
      <c r="I171" s="76"/>
      <c r="J171" s="78"/>
      <c r="K171" s="78"/>
      <c r="L171" s="78"/>
      <c r="M171" s="78"/>
      <c r="N171" s="81"/>
      <c r="O171" s="78"/>
      <c r="P171" s="82"/>
      <c r="Q171" s="4"/>
      <c r="R171" s="78"/>
      <c r="S171" s="83"/>
      <c r="T171" s="4"/>
      <c r="U171" s="77"/>
    </row>
    <row r="172" spans="1:21" ht="18.75" customHeight="1" x14ac:dyDescent="0.2">
      <c r="A172" s="76"/>
      <c r="B172" s="77"/>
      <c r="C172" s="78"/>
      <c r="D172" s="79"/>
      <c r="E172" s="99"/>
      <c r="F172" s="78"/>
      <c r="G172" s="80"/>
      <c r="H172" s="4"/>
      <c r="I172" s="76"/>
      <c r="J172" s="78"/>
      <c r="K172" s="78"/>
      <c r="L172" s="78"/>
      <c r="M172" s="78"/>
      <c r="N172" s="81"/>
      <c r="O172" s="78"/>
      <c r="P172" s="82"/>
      <c r="Q172" s="4"/>
      <c r="R172" s="78"/>
      <c r="S172" s="83"/>
      <c r="T172" s="4"/>
      <c r="U172" s="77"/>
    </row>
    <row r="173" spans="1:21" ht="18.75" customHeight="1" x14ac:dyDescent="0.2">
      <c r="A173" s="76"/>
      <c r="B173" s="77"/>
      <c r="C173" s="78"/>
      <c r="D173" s="79"/>
      <c r="E173" s="99"/>
      <c r="F173" s="78"/>
      <c r="G173" s="80"/>
      <c r="H173" s="4"/>
      <c r="I173" s="76"/>
      <c r="J173" s="78"/>
      <c r="K173" s="78"/>
      <c r="L173" s="78"/>
      <c r="M173" s="78"/>
      <c r="N173" s="81"/>
      <c r="O173" s="78"/>
      <c r="P173" s="82"/>
      <c r="Q173" s="4"/>
      <c r="R173" s="78"/>
      <c r="S173" s="83"/>
      <c r="T173" s="4"/>
      <c r="U173" s="77"/>
    </row>
    <row r="174" spans="1:21" ht="18.75" customHeight="1" x14ac:dyDescent="0.2">
      <c r="A174" s="76"/>
      <c r="B174" s="77"/>
      <c r="C174" s="78"/>
      <c r="D174" s="79"/>
      <c r="E174" s="99"/>
      <c r="F174" s="78"/>
      <c r="G174" s="80"/>
      <c r="H174" s="4"/>
      <c r="I174" s="76"/>
      <c r="J174" s="78"/>
      <c r="K174" s="78"/>
      <c r="L174" s="78"/>
      <c r="M174" s="78"/>
      <c r="N174" s="81"/>
      <c r="O174" s="78"/>
      <c r="P174" s="82"/>
      <c r="Q174" s="4"/>
      <c r="R174" s="78"/>
      <c r="S174" s="83"/>
      <c r="T174" s="4"/>
      <c r="U174" s="77"/>
    </row>
    <row r="175" spans="1:21" ht="18.75" customHeight="1" x14ac:dyDescent="0.2">
      <c r="A175" s="76"/>
      <c r="B175" s="77"/>
      <c r="C175" s="78"/>
      <c r="D175" s="79"/>
      <c r="E175" s="99"/>
      <c r="F175" s="78"/>
      <c r="G175" s="80"/>
      <c r="H175" s="4"/>
      <c r="I175" s="76"/>
      <c r="J175" s="78"/>
      <c r="K175" s="78"/>
      <c r="L175" s="78"/>
      <c r="M175" s="78"/>
      <c r="N175" s="81"/>
      <c r="O175" s="78"/>
      <c r="P175" s="82"/>
      <c r="Q175" s="4"/>
      <c r="R175" s="78"/>
      <c r="S175" s="83"/>
      <c r="T175" s="4"/>
      <c r="U175" s="77"/>
    </row>
    <row r="176" spans="1:21" ht="18.75" customHeight="1" x14ac:dyDescent="0.2">
      <c r="A176" s="76"/>
      <c r="B176" s="77"/>
      <c r="C176" s="78"/>
      <c r="D176" s="79"/>
      <c r="E176" s="99"/>
      <c r="F176" s="78"/>
      <c r="G176" s="80"/>
      <c r="H176" s="4"/>
      <c r="I176" s="76"/>
      <c r="J176" s="78"/>
      <c r="K176" s="78"/>
      <c r="L176" s="78"/>
      <c r="M176" s="78"/>
      <c r="N176" s="81"/>
      <c r="O176" s="78"/>
      <c r="P176" s="82"/>
      <c r="Q176" s="4"/>
      <c r="R176" s="78"/>
      <c r="S176" s="83"/>
      <c r="T176" s="4"/>
      <c r="U176" s="77"/>
    </row>
    <row r="177" spans="1:21" ht="18.75" customHeight="1" x14ac:dyDescent="0.2">
      <c r="A177" s="76"/>
      <c r="B177" s="77"/>
      <c r="C177" s="78"/>
      <c r="D177" s="79"/>
      <c r="E177" s="99"/>
      <c r="F177" s="78"/>
      <c r="G177" s="80"/>
      <c r="H177" s="4"/>
      <c r="I177" s="76"/>
      <c r="J177" s="78"/>
      <c r="K177" s="78"/>
      <c r="L177" s="78"/>
      <c r="M177" s="78"/>
      <c r="N177" s="81"/>
      <c r="O177" s="78"/>
      <c r="P177" s="82"/>
      <c r="Q177" s="4"/>
      <c r="R177" s="78"/>
      <c r="S177" s="83"/>
      <c r="T177" s="4"/>
      <c r="U177" s="77"/>
    </row>
    <row r="178" spans="1:21" ht="18.75" customHeight="1" x14ac:dyDescent="0.2">
      <c r="A178" s="76"/>
      <c r="B178" s="77"/>
      <c r="C178" s="78"/>
      <c r="D178" s="79"/>
      <c r="E178" s="99"/>
      <c r="F178" s="78"/>
      <c r="G178" s="80"/>
      <c r="H178" s="4"/>
      <c r="I178" s="76"/>
      <c r="J178" s="78"/>
      <c r="K178" s="78"/>
      <c r="L178" s="78"/>
      <c r="M178" s="78"/>
      <c r="N178" s="81"/>
      <c r="O178" s="78"/>
      <c r="P178" s="82"/>
      <c r="Q178" s="4"/>
      <c r="R178" s="78"/>
      <c r="S178" s="83"/>
      <c r="T178" s="4"/>
      <c r="U178" s="77"/>
    </row>
    <row r="179" spans="1:21" ht="18.75" customHeight="1" x14ac:dyDescent="0.2">
      <c r="A179" s="76"/>
      <c r="B179" s="77"/>
      <c r="C179" s="78"/>
      <c r="D179" s="79"/>
      <c r="E179" s="99"/>
      <c r="F179" s="78"/>
      <c r="G179" s="80"/>
      <c r="H179" s="4"/>
      <c r="I179" s="76"/>
      <c r="J179" s="78"/>
      <c r="K179" s="78"/>
      <c r="L179" s="78"/>
      <c r="M179" s="78"/>
      <c r="N179" s="81"/>
      <c r="O179" s="78"/>
      <c r="P179" s="82"/>
      <c r="Q179" s="4"/>
      <c r="R179" s="78"/>
      <c r="S179" s="83"/>
      <c r="T179" s="4"/>
      <c r="U179" s="77"/>
    </row>
    <row r="180" spans="1:21" ht="18.75" customHeight="1" x14ac:dyDescent="0.2">
      <c r="A180" s="76"/>
      <c r="B180" s="77"/>
      <c r="C180" s="78"/>
      <c r="D180" s="79"/>
      <c r="E180" s="99"/>
      <c r="F180" s="78"/>
      <c r="G180" s="80"/>
      <c r="H180" s="4"/>
      <c r="I180" s="76"/>
      <c r="J180" s="78"/>
      <c r="K180" s="78"/>
      <c r="L180" s="78"/>
      <c r="M180" s="78"/>
      <c r="N180" s="81"/>
      <c r="O180" s="78"/>
      <c r="P180" s="82"/>
      <c r="Q180" s="4"/>
      <c r="R180" s="78"/>
      <c r="S180" s="83"/>
      <c r="T180" s="4"/>
      <c r="U180" s="77"/>
    </row>
    <row r="181" spans="1:21" ht="18.75" customHeight="1" x14ac:dyDescent="0.2">
      <c r="A181" s="76"/>
      <c r="B181" s="77"/>
      <c r="C181" s="78"/>
      <c r="D181" s="79"/>
      <c r="E181" s="99"/>
      <c r="F181" s="78"/>
      <c r="G181" s="80"/>
      <c r="H181" s="4"/>
      <c r="I181" s="76"/>
      <c r="J181" s="78"/>
      <c r="K181" s="78"/>
      <c r="L181" s="78"/>
      <c r="M181" s="78"/>
      <c r="N181" s="81"/>
      <c r="O181" s="78"/>
      <c r="P181" s="82"/>
      <c r="Q181" s="4"/>
      <c r="R181" s="78"/>
      <c r="S181" s="83"/>
      <c r="T181" s="4"/>
      <c r="U181" s="77"/>
    </row>
    <row r="182" spans="1:21" ht="18.75" customHeight="1" x14ac:dyDescent="0.2">
      <c r="A182" s="76"/>
      <c r="B182" s="77"/>
      <c r="C182" s="78"/>
      <c r="D182" s="79"/>
      <c r="E182" s="99"/>
      <c r="F182" s="78"/>
      <c r="G182" s="80"/>
      <c r="H182" s="4"/>
      <c r="I182" s="76"/>
      <c r="J182" s="78"/>
      <c r="K182" s="78"/>
      <c r="L182" s="78"/>
      <c r="M182" s="78"/>
      <c r="N182" s="81"/>
      <c r="O182" s="78"/>
      <c r="P182" s="82"/>
      <c r="Q182" s="4"/>
      <c r="R182" s="78"/>
      <c r="S182" s="83"/>
      <c r="T182" s="4"/>
      <c r="U182" s="77"/>
    </row>
    <row r="183" spans="1:21" ht="18.75" customHeight="1" x14ac:dyDescent="0.2">
      <c r="A183" s="76"/>
      <c r="B183" s="77"/>
      <c r="C183" s="78"/>
      <c r="D183" s="79"/>
      <c r="E183" s="99"/>
      <c r="F183" s="78"/>
      <c r="G183" s="80"/>
      <c r="H183" s="4"/>
      <c r="I183" s="76"/>
      <c r="J183" s="78"/>
      <c r="K183" s="78"/>
      <c r="L183" s="78"/>
      <c r="M183" s="78"/>
      <c r="N183" s="81"/>
      <c r="O183" s="78"/>
      <c r="P183" s="82"/>
      <c r="Q183" s="4"/>
      <c r="R183" s="78"/>
      <c r="S183" s="83"/>
      <c r="T183" s="4"/>
      <c r="U183" s="77"/>
    </row>
    <row r="184" spans="1:21" ht="18.75" customHeight="1" x14ac:dyDescent="0.2">
      <c r="A184" s="76"/>
      <c r="B184" s="77"/>
      <c r="C184" s="78"/>
      <c r="D184" s="79"/>
      <c r="E184" s="99"/>
      <c r="F184" s="78"/>
      <c r="G184" s="80"/>
      <c r="H184" s="4"/>
      <c r="I184" s="76"/>
      <c r="J184" s="78"/>
      <c r="K184" s="78"/>
      <c r="L184" s="78"/>
      <c r="M184" s="78"/>
      <c r="N184" s="81"/>
      <c r="O184" s="78"/>
      <c r="P184" s="82"/>
      <c r="Q184" s="4"/>
      <c r="R184" s="78"/>
      <c r="S184" s="83"/>
      <c r="T184" s="4"/>
      <c r="U184" s="77"/>
    </row>
    <row r="185" spans="1:21" ht="18.75" customHeight="1" x14ac:dyDescent="0.2">
      <c r="A185" s="76"/>
      <c r="B185" s="77"/>
      <c r="C185" s="78"/>
      <c r="D185" s="79"/>
      <c r="E185" s="99"/>
      <c r="F185" s="78"/>
      <c r="G185" s="80"/>
      <c r="H185" s="4"/>
      <c r="I185" s="76"/>
      <c r="J185" s="78"/>
      <c r="K185" s="78"/>
      <c r="L185" s="78"/>
      <c r="M185" s="78"/>
      <c r="N185" s="81"/>
      <c r="O185" s="78"/>
      <c r="P185" s="82"/>
      <c r="Q185" s="4"/>
      <c r="R185" s="78"/>
      <c r="S185" s="83"/>
      <c r="T185" s="4"/>
      <c r="U185" s="77"/>
    </row>
    <row r="186" spans="1:21" ht="18.75" customHeight="1" x14ac:dyDescent="0.2">
      <c r="A186" s="76"/>
      <c r="B186" s="77"/>
      <c r="C186" s="78"/>
      <c r="D186" s="79"/>
      <c r="E186" s="99"/>
      <c r="F186" s="78"/>
      <c r="G186" s="80"/>
      <c r="H186" s="4"/>
      <c r="I186" s="76"/>
      <c r="J186" s="78"/>
      <c r="K186" s="78"/>
      <c r="L186" s="78"/>
      <c r="M186" s="78"/>
      <c r="N186" s="81"/>
      <c r="O186" s="78"/>
      <c r="P186" s="82"/>
      <c r="Q186" s="4"/>
      <c r="R186" s="78"/>
      <c r="S186" s="83"/>
      <c r="T186" s="4"/>
      <c r="U186" s="77"/>
    </row>
    <row r="187" spans="1:21" ht="18.75" customHeight="1" x14ac:dyDescent="0.2">
      <c r="A187" s="76"/>
      <c r="B187" s="77"/>
      <c r="C187" s="78"/>
      <c r="D187" s="79"/>
      <c r="E187" s="99"/>
      <c r="F187" s="78"/>
      <c r="G187" s="80"/>
      <c r="H187" s="4"/>
      <c r="I187" s="76"/>
      <c r="J187" s="78"/>
      <c r="K187" s="78"/>
      <c r="L187" s="78"/>
      <c r="M187" s="78"/>
      <c r="N187" s="81"/>
      <c r="O187" s="78"/>
      <c r="P187" s="82"/>
      <c r="Q187" s="4"/>
      <c r="R187" s="78"/>
      <c r="S187" s="83"/>
      <c r="T187" s="4"/>
      <c r="U187" s="77"/>
    </row>
    <row r="188" spans="1:21" ht="18.75" customHeight="1" x14ac:dyDescent="0.2">
      <c r="A188" s="76"/>
      <c r="B188" s="77"/>
      <c r="C188" s="78"/>
      <c r="D188" s="79"/>
      <c r="E188" s="99"/>
      <c r="F188" s="78"/>
      <c r="G188" s="80"/>
      <c r="H188" s="4"/>
      <c r="I188" s="76"/>
      <c r="J188" s="78"/>
      <c r="K188" s="78"/>
      <c r="L188" s="78"/>
      <c r="M188" s="78"/>
      <c r="N188" s="81"/>
      <c r="O188" s="78"/>
      <c r="P188" s="82"/>
      <c r="Q188" s="4"/>
      <c r="R188" s="78"/>
      <c r="S188" s="83"/>
      <c r="T188" s="4"/>
      <c r="U188" s="77"/>
    </row>
    <row r="189" spans="1:21" ht="18.75" customHeight="1" x14ac:dyDescent="0.2">
      <c r="A189" s="76"/>
      <c r="B189" s="77"/>
      <c r="C189" s="78"/>
      <c r="D189" s="79"/>
      <c r="E189" s="99"/>
      <c r="F189" s="78"/>
      <c r="G189" s="80"/>
      <c r="H189" s="4"/>
      <c r="I189" s="76"/>
      <c r="J189" s="78"/>
      <c r="K189" s="78"/>
      <c r="L189" s="78"/>
      <c r="M189" s="78"/>
      <c r="N189" s="81"/>
      <c r="O189" s="78"/>
      <c r="P189" s="82"/>
      <c r="Q189" s="4"/>
      <c r="R189" s="78"/>
      <c r="S189" s="83"/>
      <c r="T189" s="4"/>
      <c r="U189" s="77"/>
    </row>
    <row r="190" spans="1:21" ht="18.75" customHeight="1" x14ac:dyDescent="0.2">
      <c r="A190" s="76"/>
      <c r="B190" s="77"/>
      <c r="C190" s="78"/>
      <c r="D190" s="79"/>
      <c r="E190" s="99"/>
      <c r="F190" s="78"/>
      <c r="G190" s="80"/>
      <c r="H190" s="4"/>
      <c r="I190" s="76"/>
      <c r="J190" s="78"/>
      <c r="K190" s="78"/>
      <c r="L190" s="78"/>
      <c r="M190" s="78"/>
      <c r="N190" s="81"/>
      <c r="O190" s="78"/>
      <c r="P190" s="82"/>
      <c r="Q190" s="4"/>
      <c r="R190" s="78"/>
      <c r="S190" s="83"/>
      <c r="T190" s="4"/>
      <c r="U190" s="77"/>
    </row>
    <row r="191" spans="1:21" ht="18.75" customHeight="1" x14ac:dyDescent="0.2">
      <c r="A191" s="76"/>
      <c r="B191" s="77"/>
      <c r="C191" s="78"/>
      <c r="D191" s="79"/>
      <c r="E191" s="99"/>
      <c r="F191" s="78"/>
      <c r="G191" s="80"/>
      <c r="H191" s="4"/>
      <c r="I191" s="76"/>
      <c r="J191" s="78"/>
      <c r="K191" s="78"/>
      <c r="L191" s="78"/>
      <c r="M191" s="78"/>
      <c r="N191" s="81"/>
      <c r="O191" s="78"/>
      <c r="P191" s="82"/>
      <c r="Q191" s="4"/>
      <c r="R191" s="78"/>
      <c r="S191" s="83"/>
      <c r="T191" s="4"/>
      <c r="U191" s="77"/>
    </row>
    <row r="192" spans="1:21" ht="18.75" customHeight="1" x14ac:dyDescent="0.2">
      <c r="A192" s="76"/>
      <c r="B192" s="77"/>
      <c r="C192" s="78"/>
      <c r="D192" s="79"/>
      <c r="E192" s="99"/>
      <c r="F192" s="78"/>
      <c r="G192" s="80"/>
      <c r="H192" s="4"/>
      <c r="I192" s="76"/>
      <c r="J192" s="78"/>
      <c r="K192" s="78"/>
      <c r="L192" s="78"/>
      <c r="M192" s="78"/>
      <c r="N192" s="81"/>
      <c r="O192" s="78"/>
      <c r="P192" s="82"/>
      <c r="Q192" s="4"/>
      <c r="R192" s="78"/>
      <c r="S192" s="83"/>
      <c r="T192" s="4"/>
      <c r="U192" s="77"/>
    </row>
    <row r="193" spans="1:21" ht="18.75" customHeight="1" x14ac:dyDescent="0.2">
      <c r="A193" s="76"/>
      <c r="B193" s="77"/>
      <c r="C193" s="78"/>
      <c r="D193" s="79"/>
      <c r="E193" s="99"/>
      <c r="F193" s="78"/>
      <c r="G193" s="80"/>
      <c r="H193" s="4"/>
      <c r="I193" s="76"/>
      <c r="J193" s="78"/>
      <c r="K193" s="78"/>
      <c r="L193" s="78"/>
      <c r="M193" s="78"/>
      <c r="N193" s="81"/>
      <c r="O193" s="78"/>
      <c r="P193" s="82"/>
      <c r="Q193" s="4"/>
      <c r="R193" s="78"/>
      <c r="S193" s="83"/>
      <c r="T193" s="4"/>
      <c r="U193" s="77"/>
    </row>
    <row r="194" spans="1:21" ht="18.75" customHeight="1" x14ac:dyDescent="0.2">
      <c r="A194" s="76"/>
      <c r="B194" s="77"/>
      <c r="C194" s="78"/>
      <c r="D194" s="79"/>
      <c r="E194" s="99"/>
      <c r="F194" s="78"/>
      <c r="G194" s="80"/>
      <c r="H194" s="4"/>
      <c r="I194" s="76"/>
      <c r="J194" s="78"/>
      <c r="K194" s="78"/>
      <c r="L194" s="78"/>
      <c r="M194" s="78"/>
      <c r="N194" s="81"/>
      <c r="O194" s="78"/>
      <c r="P194" s="82"/>
      <c r="Q194" s="4"/>
      <c r="R194" s="78"/>
      <c r="S194" s="83"/>
      <c r="T194" s="4"/>
      <c r="U194" s="77"/>
    </row>
    <row r="195" spans="1:21" ht="18.75" customHeight="1" x14ac:dyDescent="0.2">
      <c r="A195" s="76"/>
      <c r="B195" s="77"/>
      <c r="C195" s="78"/>
      <c r="D195" s="79"/>
      <c r="E195" s="99"/>
      <c r="F195" s="78"/>
      <c r="G195" s="80"/>
      <c r="H195" s="4"/>
      <c r="I195" s="76"/>
      <c r="J195" s="78"/>
      <c r="K195" s="78"/>
      <c r="L195" s="78"/>
      <c r="M195" s="78"/>
      <c r="N195" s="81"/>
      <c r="O195" s="78"/>
      <c r="P195" s="82"/>
      <c r="Q195" s="4"/>
      <c r="R195" s="78"/>
      <c r="S195" s="83"/>
      <c r="T195" s="4"/>
      <c r="U195" s="77"/>
    </row>
    <row r="196" spans="1:21" ht="18.75" customHeight="1" x14ac:dyDescent="0.2">
      <c r="A196" s="76"/>
      <c r="B196" s="77"/>
      <c r="C196" s="78"/>
      <c r="D196" s="79"/>
      <c r="E196" s="99"/>
      <c r="F196" s="78"/>
      <c r="G196" s="80"/>
      <c r="H196" s="4"/>
      <c r="I196" s="76"/>
      <c r="J196" s="78"/>
      <c r="K196" s="78"/>
      <c r="L196" s="78"/>
      <c r="M196" s="78"/>
      <c r="N196" s="81"/>
      <c r="O196" s="78"/>
      <c r="P196" s="82"/>
      <c r="Q196" s="4"/>
      <c r="R196" s="78"/>
      <c r="S196" s="83"/>
      <c r="T196" s="4"/>
      <c r="U196" s="77"/>
    </row>
    <row r="197" spans="1:21" ht="18.75" customHeight="1" x14ac:dyDescent="0.2">
      <c r="A197" s="76"/>
      <c r="B197" s="77"/>
      <c r="C197" s="78"/>
      <c r="D197" s="79"/>
      <c r="E197" s="99"/>
      <c r="F197" s="78"/>
      <c r="G197" s="80"/>
      <c r="H197" s="4"/>
      <c r="I197" s="76"/>
      <c r="J197" s="78"/>
      <c r="K197" s="78"/>
      <c r="L197" s="78"/>
      <c r="M197" s="78"/>
      <c r="N197" s="81"/>
      <c r="O197" s="78"/>
      <c r="P197" s="82"/>
      <c r="Q197" s="4"/>
      <c r="R197" s="78"/>
      <c r="S197" s="83"/>
      <c r="T197" s="4"/>
      <c r="U197" s="77"/>
    </row>
    <row r="198" spans="1:21" ht="18.75" customHeight="1" x14ac:dyDescent="0.2">
      <c r="A198" s="76"/>
      <c r="B198" s="77"/>
      <c r="C198" s="78"/>
      <c r="D198" s="79"/>
      <c r="E198" s="99"/>
      <c r="F198" s="78"/>
      <c r="G198" s="80"/>
      <c r="H198" s="4"/>
      <c r="I198" s="76"/>
      <c r="J198" s="78"/>
      <c r="K198" s="78"/>
      <c r="L198" s="78"/>
      <c r="M198" s="78"/>
      <c r="N198" s="81"/>
      <c r="O198" s="78"/>
      <c r="P198" s="82"/>
      <c r="Q198" s="4"/>
      <c r="R198" s="78"/>
      <c r="S198" s="83"/>
      <c r="T198" s="4"/>
      <c r="U198" s="77"/>
    </row>
    <row r="199" spans="1:21" ht="18.75" customHeight="1" x14ac:dyDescent="0.2">
      <c r="A199" s="76"/>
      <c r="B199" s="77"/>
      <c r="C199" s="78"/>
      <c r="D199" s="79"/>
      <c r="E199" s="99"/>
      <c r="F199" s="78"/>
      <c r="G199" s="80"/>
      <c r="H199" s="4"/>
      <c r="I199" s="76"/>
      <c r="J199" s="78"/>
      <c r="K199" s="78"/>
      <c r="L199" s="78"/>
      <c r="M199" s="78"/>
      <c r="N199" s="81"/>
      <c r="O199" s="78"/>
      <c r="P199" s="82"/>
      <c r="Q199" s="4"/>
      <c r="R199" s="78"/>
      <c r="S199" s="83"/>
      <c r="T199" s="4"/>
      <c r="U199" s="77"/>
    </row>
    <row r="200" spans="1:21" ht="18.75" customHeight="1" x14ac:dyDescent="0.2">
      <c r="A200" s="76"/>
      <c r="B200" s="77"/>
      <c r="C200" s="78"/>
      <c r="D200" s="79"/>
      <c r="E200" s="99"/>
      <c r="F200" s="78"/>
      <c r="G200" s="80"/>
      <c r="H200" s="4"/>
      <c r="I200" s="76"/>
      <c r="J200" s="78"/>
      <c r="K200" s="78"/>
      <c r="L200" s="78"/>
      <c r="M200" s="78"/>
      <c r="N200" s="81"/>
      <c r="O200" s="78"/>
      <c r="P200" s="82"/>
      <c r="Q200" s="4"/>
      <c r="R200" s="78"/>
      <c r="S200" s="83"/>
      <c r="T200" s="4"/>
      <c r="U200" s="77"/>
    </row>
    <row r="201" spans="1:21" ht="18.75" customHeight="1" x14ac:dyDescent="0.2">
      <c r="A201" s="76"/>
      <c r="B201" s="77"/>
      <c r="C201" s="78"/>
      <c r="D201" s="79"/>
      <c r="E201" s="99"/>
      <c r="F201" s="78"/>
      <c r="G201" s="80"/>
      <c r="H201" s="4"/>
      <c r="I201" s="76"/>
      <c r="J201" s="78"/>
      <c r="K201" s="78"/>
      <c r="L201" s="78"/>
      <c r="M201" s="78"/>
      <c r="N201" s="81"/>
      <c r="O201" s="78"/>
      <c r="P201" s="82"/>
      <c r="Q201" s="4"/>
      <c r="R201" s="78"/>
      <c r="S201" s="83"/>
      <c r="T201" s="4"/>
      <c r="U201" s="77"/>
    </row>
    <row r="202" spans="1:21" ht="18.75" customHeight="1" x14ac:dyDescent="0.2">
      <c r="A202" s="76"/>
      <c r="B202" s="77"/>
      <c r="C202" s="78"/>
      <c r="D202" s="79"/>
      <c r="E202" s="99"/>
      <c r="F202" s="78"/>
      <c r="G202" s="80"/>
      <c r="H202" s="4"/>
      <c r="I202" s="76"/>
      <c r="J202" s="78"/>
      <c r="K202" s="78"/>
      <c r="L202" s="78"/>
      <c r="M202" s="78"/>
      <c r="N202" s="81"/>
      <c r="O202" s="78"/>
      <c r="P202" s="82"/>
      <c r="Q202" s="4"/>
      <c r="R202" s="78"/>
      <c r="S202" s="83"/>
      <c r="T202" s="4"/>
      <c r="U202" s="77"/>
    </row>
    <row r="203" spans="1:21" ht="18.75" customHeight="1" x14ac:dyDescent="0.2">
      <c r="A203" s="76"/>
      <c r="B203" s="77"/>
      <c r="C203" s="78"/>
      <c r="D203" s="79"/>
      <c r="E203" s="99"/>
      <c r="F203" s="78"/>
      <c r="G203" s="80"/>
      <c r="H203" s="4"/>
      <c r="I203" s="76"/>
      <c r="J203" s="78"/>
      <c r="K203" s="78"/>
      <c r="L203" s="78"/>
      <c r="M203" s="78"/>
      <c r="N203" s="81"/>
      <c r="O203" s="78"/>
      <c r="P203" s="82"/>
      <c r="Q203" s="4"/>
      <c r="R203" s="78"/>
      <c r="S203" s="83"/>
      <c r="T203" s="4"/>
      <c r="U203" s="77"/>
    </row>
    <row r="204" spans="1:21" ht="18.75" customHeight="1" x14ac:dyDescent="0.2">
      <c r="A204" s="76"/>
      <c r="B204" s="77"/>
      <c r="C204" s="78"/>
      <c r="D204" s="79"/>
      <c r="E204" s="99"/>
      <c r="F204" s="78"/>
      <c r="G204" s="80"/>
      <c r="H204" s="4"/>
      <c r="I204" s="76"/>
      <c r="J204" s="78"/>
      <c r="K204" s="78"/>
      <c r="L204" s="78"/>
      <c r="M204" s="78"/>
      <c r="N204" s="81"/>
      <c r="O204" s="78"/>
      <c r="P204" s="82"/>
      <c r="Q204" s="4"/>
      <c r="R204" s="78"/>
      <c r="S204" s="83"/>
      <c r="T204" s="4"/>
      <c r="U204" s="77"/>
    </row>
    <row r="205" spans="1:21" ht="18.75" customHeight="1" x14ac:dyDescent="0.2">
      <c r="A205" s="76"/>
      <c r="B205" s="77"/>
      <c r="C205" s="78"/>
      <c r="D205" s="79"/>
      <c r="E205" s="99"/>
      <c r="F205" s="78"/>
      <c r="G205" s="80"/>
      <c r="H205" s="4"/>
      <c r="I205" s="76"/>
      <c r="J205" s="78"/>
      <c r="K205" s="78"/>
      <c r="L205" s="78"/>
      <c r="M205" s="78"/>
      <c r="N205" s="81"/>
      <c r="O205" s="78"/>
      <c r="P205" s="82"/>
      <c r="Q205" s="4"/>
      <c r="R205" s="78"/>
      <c r="S205" s="83"/>
      <c r="T205" s="4"/>
      <c r="U205" s="77"/>
    </row>
    <row r="206" spans="1:21" ht="18.75" customHeight="1" x14ac:dyDescent="0.2">
      <c r="A206" s="76"/>
      <c r="B206" s="77"/>
      <c r="C206" s="78"/>
      <c r="D206" s="79"/>
      <c r="E206" s="99"/>
      <c r="F206" s="78"/>
      <c r="G206" s="80"/>
      <c r="H206" s="4"/>
      <c r="I206" s="76"/>
      <c r="J206" s="78"/>
      <c r="K206" s="78"/>
      <c r="L206" s="78"/>
      <c r="M206" s="78"/>
      <c r="N206" s="81"/>
      <c r="O206" s="78"/>
      <c r="P206" s="82"/>
      <c r="Q206" s="4"/>
      <c r="R206" s="78"/>
      <c r="S206" s="83"/>
      <c r="T206" s="4"/>
      <c r="U206" s="77"/>
    </row>
    <row r="207" spans="1:21" ht="18.75" customHeight="1" x14ac:dyDescent="0.2">
      <c r="A207" s="76"/>
      <c r="B207" s="77"/>
      <c r="C207" s="78"/>
      <c r="D207" s="79"/>
      <c r="E207" s="99"/>
      <c r="F207" s="78"/>
      <c r="G207" s="80"/>
      <c r="H207" s="4"/>
      <c r="I207" s="76"/>
      <c r="J207" s="78"/>
      <c r="K207" s="78"/>
      <c r="L207" s="78"/>
      <c r="M207" s="78"/>
      <c r="N207" s="81"/>
      <c r="O207" s="78"/>
      <c r="P207" s="82"/>
      <c r="Q207" s="4"/>
      <c r="R207" s="78"/>
      <c r="S207" s="83"/>
      <c r="T207" s="4"/>
      <c r="U207" s="77"/>
    </row>
    <row r="208" spans="1:21" ht="18.75" customHeight="1" x14ac:dyDescent="0.2">
      <c r="A208" s="76"/>
      <c r="B208" s="77"/>
      <c r="C208" s="78"/>
      <c r="D208" s="79"/>
      <c r="E208" s="99"/>
      <c r="F208" s="78"/>
      <c r="G208" s="80"/>
      <c r="H208" s="4"/>
      <c r="I208" s="76"/>
      <c r="J208" s="78"/>
      <c r="K208" s="78"/>
      <c r="L208" s="78"/>
      <c r="M208" s="78"/>
      <c r="N208" s="81"/>
      <c r="O208" s="78"/>
      <c r="P208" s="82"/>
      <c r="Q208" s="4"/>
      <c r="R208" s="78"/>
      <c r="S208" s="83"/>
      <c r="T208" s="4"/>
      <c r="U208" s="77"/>
    </row>
    <row r="209" spans="1:21" ht="18.75" customHeight="1" x14ac:dyDescent="0.2">
      <c r="A209" s="76"/>
      <c r="B209" s="77"/>
      <c r="C209" s="78"/>
      <c r="D209" s="79"/>
      <c r="E209" s="99"/>
      <c r="F209" s="78"/>
      <c r="G209" s="80"/>
      <c r="H209" s="4"/>
      <c r="I209" s="76"/>
      <c r="J209" s="78"/>
      <c r="K209" s="78"/>
      <c r="L209" s="78"/>
      <c r="M209" s="78"/>
      <c r="N209" s="81"/>
      <c r="O209" s="78"/>
      <c r="P209" s="82"/>
      <c r="Q209" s="4"/>
      <c r="R209" s="78"/>
      <c r="S209" s="83"/>
      <c r="T209" s="4"/>
      <c r="U209" s="77"/>
    </row>
    <row r="210" spans="1:21" ht="18.75" customHeight="1" x14ac:dyDescent="0.2">
      <c r="A210" s="76"/>
      <c r="B210" s="77"/>
      <c r="C210" s="78"/>
      <c r="D210" s="79"/>
      <c r="E210" s="99"/>
      <c r="F210" s="78"/>
      <c r="G210" s="80"/>
      <c r="H210" s="4"/>
      <c r="I210" s="76"/>
      <c r="J210" s="78"/>
      <c r="K210" s="78"/>
      <c r="L210" s="78"/>
      <c r="M210" s="78"/>
      <c r="N210" s="81"/>
      <c r="O210" s="78"/>
      <c r="P210" s="82"/>
      <c r="Q210" s="4"/>
      <c r="R210" s="78"/>
      <c r="S210" s="83"/>
      <c r="T210" s="4"/>
      <c r="U210" s="77"/>
    </row>
    <row r="211" spans="1:21" ht="18.75" customHeight="1" x14ac:dyDescent="0.2">
      <c r="A211" s="76"/>
      <c r="B211" s="77"/>
      <c r="C211" s="78"/>
      <c r="D211" s="79"/>
      <c r="E211" s="99"/>
      <c r="F211" s="78"/>
      <c r="G211" s="80"/>
      <c r="H211" s="4"/>
      <c r="I211" s="76"/>
      <c r="J211" s="78"/>
      <c r="K211" s="78"/>
      <c r="L211" s="78"/>
      <c r="M211" s="78"/>
      <c r="N211" s="81"/>
      <c r="O211" s="78"/>
      <c r="P211" s="82"/>
      <c r="Q211" s="4"/>
      <c r="R211" s="78"/>
      <c r="S211" s="83"/>
      <c r="T211" s="4"/>
      <c r="U211" s="77"/>
    </row>
    <row r="212" spans="1:21" ht="18.75" customHeight="1" x14ac:dyDescent="0.2">
      <c r="A212" s="76"/>
      <c r="B212" s="77"/>
      <c r="C212" s="78"/>
      <c r="D212" s="79"/>
      <c r="E212" s="99"/>
      <c r="F212" s="78"/>
      <c r="G212" s="80"/>
      <c r="H212" s="4"/>
      <c r="I212" s="76"/>
      <c r="J212" s="78"/>
      <c r="K212" s="78"/>
      <c r="L212" s="78"/>
      <c r="M212" s="78"/>
      <c r="N212" s="81"/>
      <c r="O212" s="78"/>
      <c r="P212" s="82"/>
      <c r="Q212" s="4"/>
      <c r="R212" s="78"/>
      <c r="S212" s="83"/>
      <c r="T212" s="4"/>
      <c r="U212" s="77"/>
    </row>
    <row r="213" spans="1:21" ht="18.75" customHeight="1" x14ac:dyDescent="0.2">
      <c r="A213" s="76"/>
      <c r="B213" s="77"/>
      <c r="C213" s="78"/>
      <c r="D213" s="79"/>
      <c r="E213" s="99"/>
      <c r="F213" s="78"/>
      <c r="G213" s="80"/>
      <c r="H213" s="4"/>
      <c r="I213" s="76"/>
      <c r="J213" s="78"/>
      <c r="K213" s="78"/>
      <c r="L213" s="78"/>
      <c r="M213" s="78"/>
      <c r="N213" s="81"/>
      <c r="O213" s="78"/>
      <c r="P213" s="82"/>
      <c r="Q213" s="4"/>
      <c r="R213" s="78"/>
      <c r="S213" s="83"/>
      <c r="T213" s="4"/>
      <c r="U213" s="77"/>
    </row>
    <row r="214" spans="1:21" ht="18.75" customHeight="1" x14ac:dyDescent="0.2">
      <c r="A214" s="76"/>
      <c r="B214" s="77"/>
      <c r="C214" s="78"/>
      <c r="D214" s="79"/>
      <c r="E214" s="99"/>
      <c r="F214" s="78"/>
      <c r="G214" s="80"/>
      <c r="H214" s="4"/>
      <c r="I214" s="76"/>
      <c r="J214" s="78"/>
      <c r="K214" s="78"/>
      <c r="L214" s="78"/>
      <c r="M214" s="78"/>
      <c r="N214" s="81"/>
      <c r="O214" s="78"/>
      <c r="P214" s="82"/>
      <c r="Q214" s="4"/>
      <c r="R214" s="78"/>
      <c r="S214" s="83"/>
      <c r="T214" s="4"/>
      <c r="U214" s="77"/>
    </row>
    <row r="215" spans="1:21" ht="18.75" customHeight="1" x14ac:dyDescent="0.2">
      <c r="A215" s="76"/>
      <c r="B215" s="77"/>
      <c r="C215" s="78"/>
      <c r="D215" s="79"/>
      <c r="E215" s="99"/>
      <c r="F215" s="78"/>
      <c r="G215" s="80"/>
      <c r="H215" s="4"/>
      <c r="I215" s="76"/>
      <c r="J215" s="78"/>
      <c r="K215" s="78"/>
      <c r="L215" s="78"/>
      <c r="M215" s="78"/>
      <c r="N215" s="81"/>
      <c r="O215" s="78"/>
      <c r="P215" s="82"/>
      <c r="Q215" s="4"/>
      <c r="R215" s="78"/>
      <c r="S215" s="83"/>
      <c r="T215" s="4"/>
      <c r="U215" s="77"/>
    </row>
    <row r="216" spans="1:21" ht="18.75" customHeight="1" x14ac:dyDescent="0.2">
      <c r="A216" s="76"/>
      <c r="B216" s="77"/>
      <c r="C216" s="78"/>
      <c r="D216" s="79"/>
      <c r="E216" s="99"/>
      <c r="F216" s="78"/>
      <c r="G216" s="80"/>
      <c r="H216" s="4"/>
      <c r="I216" s="76"/>
      <c r="J216" s="78"/>
      <c r="K216" s="78"/>
      <c r="L216" s="78"/>
      <c r="M216" s="78"/>
      <c r="N216" s="81"/>
      <c r="O216" s="78"/>
      <c r="P216" s="82"/>
      <c r="Q216" s="4"/>
      <c r="R216" s="78"/>
      <c r="S216" s="83"/>
      <c r="T216" s="4"/>
      <c r="U216" s="77"/>
    </row>
    <row r="217" spans="1:21" ht="18.75" customHeight="1" x14ac:dyDescent="0.2">
      <c r="A217" s="76"/>
      <c r="B217" s="77"/>
      <c r="C217" s="78"/>
      <c r="D217" s="79"/>
      <c r="E217" s="99"/>
      <c r="F217" s="78"/>
      <c r="G217" s="80"/>
      <c r="H217" s="4"/>
      <c r="I217" s="76"/>
      <c r="J217" s="78"/>
      <c r="K217" s="78"/>
      <c r="L217" s="78"/>
      <c r="M217" s="78"/>
      <c r="N217" s="81"/>
      <c r="O217" s="78"/>
      <c r="P217" s="82"/>
      <c r="Q217" s="4"/>
      <c r="R217" s="78"/>
      <c r="S217" s="83"/>
      <c r="T217" s="4"/>
      <c r="U217" s="77"/>
    </row>
    <row r="218" spans="1:21" ht="18.75" customHeight="1" x14ac:dyDescent="0.2">
      <c r="A218" s="76"/>
      <c r="B218" s="77"/>
      <c r="C218" s="78"/>
      <c r="D218" s="79"/>
      <c r="E218" s="99"/>
      <c r="F218" s="78"/>
      <c r="G218" s="80"/>
      <c r="H218" s="4"/>
      <c r="I218" s="76"/>
      <c r="J218" s="78"/>
      <c r="K218" s="78"/>
      <c r="L218" s="78"/>
      <c r="M218" s="78"/>
      <c r="N218" s="81"/>
      <c r="O218" s="78"/>
      <c r="P218" s="82"/>
      <c r="Q218" s="4"/>
      <c r="R218" s="78"/>
      <c r="S218" s="83"/>
      <c r="T218" s="4"/>
      <c r="U218" s="77"/>
    </row>
    <row r="219" spans="1:21" ht="18.75" customHeight="1" x14ac:dyDescent="0.2">
      <c r="A219" s="76"/>
      <c r="B219" s="77"/>
      <c r="C219" s="78"/>
      <c r="D219" s="79"/>
      <c r="E219" s="99"/>
      <c r="F219" s="78"/>
      <c r="G219" s="80"/>
      <c r="H219" s="4"/>
      <c r="I219" s="76"/>
      <c r="J219" s="78"/>
      <c r="K219" s="78"/>
      <c r="L219" s="78"/>
      <c r="M219" s="78"/>
      <c r="N219" s="81"/>
      <c r="O219" s="78"/>
      <c r="P219" s="82"/>
      <c r="Q219" s="4"/>
      <c r="R219" s="78"/>
      <c r="S219" s="83"/>
      <c r="T219" s="4"/>
      <c r="U219" s="77"/>
    </row>
    <row r="220" spans="1:21" ht="18.75" customHeight="1" x14ac:dyDescent="0.2">
      <c r="A220" s="76"/>
      <c r="B220" s="77"/>
      <c r="C220" s="78"/>
      <c r="D220" s="79"/>
      <c r="E220" s="99"/>
      <c r="F220" s="78"/>
      <c r="G220" s="80"/>
      <c r="H220" s="4"/>
      <c r="I220" s="76"/>
      <c r="J220" s="78"/>
      <c r="K220" s="78"/>
      <c r="L220" s="78"/>
      <c r="M220" s="78"/>
      <c r="N220" s="81"/>
      <c r="O220" s="78"/>
      <c r="P220" s="82"/>
      <c r="Q220" s="4"/>
      <c r="R220" s="78"/>
      <c r="S220" s="83"/>
      <c r="T220" s="4"/>
      <c r="U220" s="77"/>
    </row>
    <row r="221" spans="1:21" ht="18.75" customHeight="1" x14ac:dyDescent="0.2">
      <c r="A221" s="76"/>
      <c r="B221" s="77"/>
      <c r="C221" s="78"/>
      <c r="D221" s="79"/>
      <c r="E221" s="99"/>
      <c r="F221" s="78"/>
      <c r="G221" s="80"/>
      <c r="H221" s="4"/>
      <c r="I221" s="76"/>
      <c r="J221" s="78"/>
      <c r="K221" s="78"/>
      <c r="L221" s="78"/>
      <c r="M221" s="78"/>
      <c r="N221" s="81"/>
      <c r="O221" s="78"/>
      <c r="P221" s="82"/>
      <c r="Q221" s="4"/>
      <c r="R221" s="78"/>
      <c r="S221" s="83"/>
      <c r="T221" s="4"/>
      <c r="U221" s="77"/>
    </row>
    <row r="222" spans="1:21" ht="18.75" customHeight="1" x14ac:dyDescent="0.2">
      <c r="A222" s="76"/>
      <c r="B222" s="77"/>
      <c r="C222" s="78"/>
      <c r="D222" s="79"/>
      <c r="E222" s="99"/>
      <c r="F222" s="78"/>
      <c r="G222" s="80"/>
      <c r="H222" s="4"/>
      <c r="I222" s="76"/>
      <c r="J222" s="78"/>
      <c r="K222" s="78"/>
      <c r="L222" s="78"/>
      <c r="M222" s="78"/>
      <c r="N222" s="81"/>
      <c r="O222" s="78"/>
      <c r="P222" s="82"/>
      <c r="Q222" s="4"/>
      <c r="R222" s="78"/>
      <c r="S222" s="83"/>
      <c r="T222" s="4"/>
      <c r="U222" s="77"/>
    </row>
    <row r="223" spans="1:21" ht="18.75" customHeight="1" x14ac:dyDescent="0.2">
      <c r="A223" s="76"/>
      <c r="B223" s="77"/>
      <c r="C223" s="78"/>
      <c r="D223" s="79"/>
      <c r="E223" s="99"/>
      <c r="F223" s="78"/>
      <c r="G223" s="80"/>
      <c r="H223" s="4"/>
      <c r="I223" s="76"/>
      <c r="J223" s="78"/>
      <c r="K223" s="78"/>
      <c r="L223" s="78"/>
      <c r="M223" s="78"/>
      <c r="N223" s="81"/>
      <c r="O223" s="78"/>
      <c r="P223" s="82"/>
      <c r="Q223" s="4"/>
      <c r="R223" s="78"/>
      <c r="S223" s="83"/>
      <c r="T223" s="4"/>
      <c r="U223" s="77"/>
    </row>
    <row r="224" spans="1:21" ht="18.75" customHeight="1" x14ac:dyDescent="0.2">
      <c r="A224" s="76"/>
      <c r="B224" s="77"/>
      <c r="C224" s="78"/>
      <c r="D224" s="79"/>
      <c r="E224" s="99"/>
      <c r="F224" s="78"/>
      <c r="G224" s="80"/>
      <c r="H224" s="4"/>
      <c r="I224" s="76"/>
      <c r="J224" s="78"/>
      <c r="K224" s="78"/>
      <c r="L224" s="78"/>
      <c r="M224" s="78"/>
      <c r="N224" s="81"/>
      <c r="O224" s="78"/>
      <c r="P224" s="82"/>
      <c r="Q224" s="4"/>
      <c r="R224" s="78"/>
      <c r="S224" s="83"/>
      <c r="T224" s="4"/>
      <c r="U224" s="77"/>
    </row>
    <row r="225" spans="1:21" ht="18.75" customHeight="1" x14ac:dyDescent="0.2">
      <c r="A225" s="76"/>
      <c r="B225" s="77"/>
      <c r="C225" s="78"/>
      <c r="D225" s="79"/>
      <c r="E225" s="99"/>
      <c r="F225" s="78"/>
      <c r="G225" s="80"/>
      <c r="H225" s="4"/>
      <c r="I225" s="76"/>
      <c r="J225" s="78"/>
      <c r="K225" s="78"/>
      <c r="L225" s="78"/>
      <c r="M225" s="78"/>
      <c r="N225" s="81"/>
      <c r="O225" s="78"/>
      <c r="P225" s="82"/>
      <c r="Q225" s="4"/>
      <c r="R225" s="78"/>
      <c r="S225" s="83"/>
      <c r="T225" s="4"/>
      <c r="U225" s="77"/>
    </row>
    <row r="226" spans="1:21" ht="18.75" customHeight="1" x14ac:dyDescent="0.2">
      <c r="A226" s="76"/>
      <c r="B226" s="77"/>
      <c r="C226" s="78"/>
      <c r="D226" s="79"/>
      <c r="E226" s="99"/>
      <c r="F226" s="78"/>
      <c r="G226" s="80"/>
      <c r="H226" s="4"/>
      <c r="I226" s="76"/>
      <c r="J226" s="78"/>
      <c r="K226" s="78"/>
      <c r="L226" s="78"/>
      <c r="M226" s="78"/>
      <c r="N226" s="81"/>
      <c r="O226" s="78"/>
      <c r="P226" s="82"/>
      <c r="Q226" s="4"/>
      <c r="R226" s="78"/>
      <c r="S226" s="83"/>
      <c r="T226" s="4"/>
      <c r="U226" s="77"/>
    </row>
    <row r="227" spans="1:21" ht="18.75" customHeight="1" x14ac:dyDescent="0.2">
      <c r="A227" s="76"/>
      <c r="B227" s="77"/>
      <c r="C227" s="78"/>
      <c r="D227" s="79"/>
      <c r="E227" s="99"/>
      <c r="F227" s="78"/>
      <c r="G227" s="80"/>
      <c r="H227" s="4"/>
      <c r="I227" s="76"/>
      <c r="J227" s="78"/>
      <c r="K227" s="78"/>
      <c r="L227" s="78"/>
      <c r="M227" s="78"/>
      <c r="N227" s="81"/>
      <c r="O227" s="78"/>
      <c r="P227" s="82"/>
      <c r="Q227" s="4"/>
      <c r="R227" s="78"/>
      <c r="S227" s="83"/>
      <c r="T227" s="4"/>
      <c r="U227" s="77"/>
    </row>
    <row r="228" spans="1:21" ht="18.75" customHeight="1" x14ac:dyDescent="0.2">
      <c r="A228" s="76"/>
      <c r="B228" s="77"/>
      <c r="C228" s="78"/>
      <c r="D228" s="79"/>
      <c r="E228" s="99"/>
      <c r="F228" s="78"/>
      <c r="G228" s="80"/>
      <c r="H228" s="4"/>
      <c r="I228" s="76"/>
      <c r="J228" s="78"/>
      <c r="K228" s="78"/>
      <c r="L228" s="78"/>
      <c r="M228" s="78"/>
      <c r="N228" s="81"/>
      <c r="O228" s="78"/>
      <c r="P228" s="82"/>
      <c r="Q228" s="4"/>
      <c r="R228" s="78"/>
      <c r="S228" s="83"/>
      <c r="T228" s="4"/>
      <c r="U228" s="77"/>
    </row>
    <row r="229" spans="1:21" ht="18.75" customHeight="1" x14ac:dyDescent="0.2">
      <c r="A229" s="76"/>
      <c r="B229" s="77"/>
      <c r="C229" s="78"/>
      <c r="D229" s="79"/>
      <c r="E229" s="99"/>
      <c r="F229" s="78"/>
      <c r="G229" s="80"/>
      <c r="H229" s="4"/>
      <c r="I229" s="76"/>
      <c r="J229" s="78"/>
      <c r="K229" s="78"/>
      <c r="L229" s="78"/>
      <c r="M229" s="78"/>
      <c r="N229" s="81"/>
      <c r="O229" s="78"/>
      <c r="P229" s="82"/>
      <c r="Q229" s="4"/>
      <c r="R229" s="78"/>
      <c r="S229" s="83"/>
      <c r="T229" s="4"/>
      <c r="U229" s="77"/>
    </row>
    <row r="230" spans="1:21" ht="18.75" customHeight="1" x14ac:dyDescent="0.2">
      <c r="A230" s="76"/>
      <c r="B230" s="77"/>
      <c r="C230" s="78"/>
      <c r="D230" s="79"/>
      <c r="E230" s="99"/>
      <c r="F230" s="78"/>
      <c r="G230" s="80"/>
      <c r="H230" s="4"/>
      <c r="I230" s="76"/>
      <c r="J230" s="78"/>
      <c r="K230" s="78"/>
      <c r="L230" s="78"/>
      <c r="M230" s="78"/>
      <c r="N230" s="81"/>
      <c r="O230" s="78"/>
      <c r="P230" s="82"/>
      <c r="Q230" s="4"/>
      <c r="R230" s="78"/>
      <c r="S230" s="83"/>
      <c r="T230" s="4"/>
      <c r="U230" s="77"/>
    </row>
    <row r="231" spans="1:21" ht="18.75" customHeight="1" x14ac:dyDescent="0.2">
      <c r="A231" s="76"/>
      <c r="B231" s="77"/>
      <c r="C231" s="78"/>
      <c r="D231" s="79"/>
      <c r="E231" s="99"/>
      <c r="F231" s="78"/>
      <c r="G231" s="80"/>
      <c r="H231" s="4"/>
      <c r="I231" s="76"/>
      <c r="J231" s="78"/>
      <c r="K231" s="78"/>
      <c r="L231" s="78"/>
      <c r="M231" s="78"/>
      <c r="N231" s="81"/>
      <c r="O231" s="78"/>
      <c r="P231" s="82"/>
      <c r="Q231" s="4"/>
      <c r="R231" s="78"/>
      <c r="S231" s="83"/>
      <c r="T231" s="4"/>
      <c r="U231" s="77"/>
    </row>
    <row r="232" spans="1:21" ht="18.75" customHeight="1" x14ac:dyDescent="0.2">
      <c r="A232" s="76"/>
      <c r="B232" s="77"/>
      <c r="C232" s="78"/>
      <c r="D232" s="79"/>
      <c r="E232" s="99"/>
      <c r="F232" s="78"/>
      <c r="G232" s="80"/>
      <c r="H232" s="4"/>
      <c r="I232" s="76"/>
      <c r="J232" s="78"/>
      <c r="K232" s="78"/>
      <c r="L232" s="78"/>
      <c r="M232" s="78"/>
      <c r="N232" s="81"/>
      <c r="O232" s="78"/>
      <c r="P232" s="82"/>
      <c r="Q232" s="4"/>
      <c r="R232" s="78"/>
      <c r="S232" s="83"/>
      <c r="T232" s="4"/>
      <c r="U232" s="77"/>
    </row>
    <row r="233" spans="1:21" ht="18.75" customHeight="1" x14ac:dyDescent="0.2">
      <c r="A233" s="76"/>
      <c r="B233" s="77"/>
      <c r="C233" s="78"/>
      <c r="D233" s="79"/>
      <c r="E233" s="99"/>
      <c r="F233" s="78"/>
      <c r="G233" s="80"/>
      <c r="H233" s="4"/>
      <c r="I233" s="76"/>
      <c r="J233" s="78"/>
      <c r="K233" s="78"/>
      <c r="L233" s="78"/>
      <c r="M233" s="78"/>
      <c r="N233" s="81"/>
      <c r="O233" s="78"/>
      <c r="P233" s="82"/>
      <c r="Q233" s="4"/>
      <c r="R233" s="78"/>
      <c r="S233" s="83"/>
      <c r="T233" s="4"/>
      <c r="U233" s="77"/>
    </row>
    <row r="234" spans="1:21" ht="18.75" customHeight="1" x14ac:dyDescent="0.2">
      <c r="A234" s="76"/>
      <c r="B234" s="77"/>
      <c r="C234" s="78"/>
      <c r="D234" s="79"/>
      <c r="E234" s="99"/>
      <c r="F234" s="78"/>
      <c r="G234" s="80"/>
      <c r="H234" s="4"/>
      <c r="I234" s="76"/>
      <c r="J234" s="78"/>
      <c r="K234" s="78"/>
      <c r="L234" s="78"/>
      <c r="M234" s="78"/>
      <c r="N234" s="81"/>
      <c r="O234" s="78"/>
      <c r="P234" s="82"/>
      <c r="Q234" s="4"/>
      <c r="R234" s="78"/>
      <c r="S234" s="83"/>
      <c r="T234" s="4"/>
      <c r="U234" s="77"/>
    </row>
    <row r="235" spans="1:21" ht="18.75" customHeight="1" x14ac:dyDescent="0.2">
      <c r="A235" s="76"/>
      <c r="B235" s="77"/>
      <c r="C235" s="78"/>
      <c r="D235" s="79"/>
      <c r="E235" s="99"/>
      <c r="F235" s="78"/>
      <c r="G235" s="80"/>
      <c r="H235" s="4"/>
      <c r="I235" s="76"/>
      <c r="J235" s="78"/>
      <c r="K235" s="78"/>
      <c r="L235" s="78"/>
      <c r="M235" s="78"/>
      <c r="N235" s="81"/>
      <c r="O235" s="78"/>
      <c r="P235" s="82"/>
      <c r="Q235" s="4"/>
      <c r="R235" s="78"/>
      <c r="S235" s="83"/>
      <c r="T235" s="4"/>
      <c r="U235" s="77"/>
    </row>
    <row r="236" spans="1:21" ht="18.75" customHeight="1" x14ac:dyDescent="0.2">
      <c r="A236" s="76"/>
      <c r="B236" s="77"/>
      <c r="C236" s="78"/>
      <c r="D236" s="79"/>
      <c r="E236" s="99"/>
      <c r="F236" s="78"/>
      <c r="G236" s="80"/>
      <c r="H236" s="4"/>
      <c r="I236" s="76"/>
      <c r="J236" s="78"/>
      <c r="K236" s="78"/>
      <c r="L236" s="78"/>
      <c r="M236" s="78"/>
      <c r="N236" s="81"/>
      <c r="O236" s="78"/>
      <c r="P236" s="82"/>
      <c r="Q236" s="4"/>
      <c r="R236" s="78"/>
      <c r="S236" s="83"/>
      <c r="T236" s="4"/>
      <c r="U236" s="77"/>
    </row>
    <row r="237" spans="1:21" ht="18.75" customHeight="1" x14ac:dyDescent="0.2">
      <c r="A237" s="76"/>
      <c r="B237" s="77"/>
      <c r="C237" s="78"/>
      <c r="D237" s="79"/>
      <c r="E237" s="99"/>
      <c r="F237" s="78"/>
      <c r="G237" s="80"/>
      <c r="H237" s="4"/>
      <c r="I237" s="76"/>
      <c r="J237" s="78"/>
      <c r="K237" s="78"/>
      <c r="L237" s="78"/>
      <c r="M237" s="78"/>
      <c r="N237" s="81"/>
      <c r="O237" s="78"/>
      <c r="P237" s="82"/>
      <c r="Q237" s="4"/>
      <c r="R237" s="78"/>
      <c r="S237" s="83"/>
      <c r="T237" s="4"/>
      <c r="U237" s="77"/>
    </row>
    <row r="238" spans="1:21" ht="18.75" customHeight="1" x14ac:dyDescent="0.2">
      <c r="A238" s="76"/>
      <c r="B238" s="77"/>
      <c r="C238" s="78"/>
      <c r="D238" s="79"/>
      <c r="E238" s="99"/>
      <c r="F238" s="78"/>
      <c r="G238" s="80"/>
      <c r="H238" s="4"/>
      <c r="I238" s="76"/>
      <c r="J238" s="78"/>
      <c r="K238" s="78"/>
      <c r="L238" s="78"/>
      <c r="M238" s="78"/>
      <c r="N238" s="81"/>
      <c r="O238" s="78"/>
      <c r="P238" s="82"/>
      <c r="Q238" s="4"/>
      <c r="R238" s="78"/>
      <c r="S238" s="83"/>
      <c r="T238" s="4"/>
      <c r="U238" s="77"/>
    </row>
    <row r="239" spans="1:21" ht="18.75" customHeight="1" x14ac:dyDescent="0.2">
      <c r="A239" s="76"/>
      <c r="B239" s="77"/>
      <c r="C239" s="78"/>
      <c r="D239" s="79"/>
      <c r="E239" s="99"/>
      <c r="F239" s="78"/>
      <c r="G239" s="80"/>
      <c r="H239" s="4"/>
      <c r="I239" s="76"/>
      <c r="J239" s="78"/>
      <c r="K239" s="78"/>
      <c r="L239" s="78"/>
      <c r="M239" s="78"/>
      <c r="N239" s="81"/>
      <c r="O239" s="78"/>
      <c r="P239" s="82"/>
      <c r="Q239" s="4"/>
      <c r="R239" s="78"/>
      <c r="S239" s="83"/>
      <c r="T239" s="4"/>
      <c r="U239" s="77"/>
    </row>
    <row r="240" spans="1:21" ht="18.75" customHeight="1" x14ac:dyDescent="0.2">
      <c r="A240" s="76"/>
      <c r="B240" s="77"/>
      <c r="C240" s="78"/>
      <c r="D240" s="79"/>
      <c r="E240" s="99"/>
      <c r="F240" s="78"/>
      <c r="G240" s="80"/>
      <c r="H240" s="4"/>
      <c r="I240" s="76"/>
      <c r="J240" s="78"/>
      <c r="K240" s="78"/>
      <c r="L240" s="78"/>
      <c r="M240" s="78"/>
      <c r="N240" s="81"/>
      <c r="O240" s="78"/>
      <c r="P240" s="82"/>
      <c r="Q240" s="4"/>
      <c r="R240" s="78"/>
      <c r="S240" s="83"/>
      <c r="T240" s="4"/>
      <c r="U240" s="77"/>
    </row>
    <row r="241" spans="1:21" ht="18.75" customHeight="1" x14ac:dyDescent="0.2">
      <c r="A241" s="76"/>
      <c r="B241" s="77"/>
      <c r="C241" s="78"/>
      <c r="D241" s="79"/>
      <c r="E241" s="99"/>
      <c r="F241" s="78"/>
      <c r="G241" s="80"/>
      <c r="H241" s="4"/>
      <c r="I241" s="76"/>
      <c r="J241" s="78"/>
      <c r="K241" s="78"/>
      <c r="L241" s="78"/>
      <c r="M241" s="78"/>
      <c r="N241" s="81"/>
      <c r="O241" s="78"/>
      <c r="P241" s="82"/>
      <c r="Q241" s="4"/>
      <c r="R241" s="78"/>
      <c r="S241" s="83"/>
      <c r="T241" s="4"/>
      <c r="U241" s="77"/>
    </row>
    <row r="242" spans="1:21" ht="18.75" customHeight="1" x14ac:dyDescent="0.2">
      <c r="A242" s="76"/>
      <c r="B242" s="77"/>
      <c r="C242" s="78"/>
      <c r="D242" s="79"/>
      <c r="E242" s="99"/>
      <c r="F242" s="78"/>
      <c r="G242" s="80"/>
      <c r="H242" s="4"/>
      <c r="I242" s="76"/>
      <c r="J242" s="78"/>
      <c r="K242" s="78"/>
      <c r="L242" s="78"/>
      <c r="M242" s="78"/>
      <c r="N242" s="81"/>
      <c r="O242" s="78"/>
      <c r="P242" s="82"/>
      <c r="Q242" s="4"/>
      <c r="R242" s="78"/>
      <c r="S242" s="83"/>
      <c r="T242" s="4"/>
      <c r="U242" s="77"/>
    </row>
    <row r="243" spans="1:21" ht="18.75" customHeight="1" x14ac:dyDescent="0.2">
      <c r="A243" s="76"/>
      <c r="B243" s="77"/>
      <c r="C243" s="78"/>
      <c r="D243" s="79"/>
      <c r="E243" s="99"/>
      <c r="F243" s="78"/>
      <c r="G243" s="80"/>
      <c r="H243" s="4"/>
      <c r="I243" s="76"/>
      <c r="J243" s="78"/>
      <c r="K243" s="78"/>
      <c r="L243" s="78"/>
      <c r="M243" s="78"/>
      <c r="N243" s="81"/>
      <c r="O243" s="78"/>
      <c r="P243" s="82"/>
      <c r="Q243" s="4"/>
      <c r="R243" s="78"/>
      <c r="S243" s="83"/>
      <c r="T243" s="4"/>
      <c r="U243" s="77"/>
    </row>
    <row r="244" spans="1:21" ht="18.75" customHeight="1" x14ac:dyDescent="0.2">
      <c r="A244" s="76"/>
      <c r="B244" s="77"/>
      <c r="C244" s="78"/>
      <c r="D244" s="79"/>
      <c r="E244" s="99"/>
      <c r="F244" s="78"/>
      <c r="G244" s="80"/>
      <c r="H244" s="4"/>
      <c r="I244" s="76"/>
      <c r="J244" s="78"/>
      <c r="K244" s="78"/>
      <c r="L244" s="78"/>
      <c r="M244" s="78"/>
      <c r="N244" s="81"/>
      <c r="O244" s="78"/>
      <c r="P244" s="82"/>
      <c r="Q244" s="4"/>
      <c r="R244" s="78"/>
      <c r="S244" s="83"/>
      <c r="T244" s="4"/>
      <c r="U244" s="77"/>
    </row>
    <row r="245" spans="1:21" ht="18.75" customHeight="1" x14ac:dyDescent="0.2">
      <c r="A245" s="76"/>
      <c r="B245" s="77"/>
      <c r="C245" s="78"/>
      <c r="D245" s="79"/>
      <c r="E245" s="99"/>
      <c r="F245" s="78"/>
      <c r="G245" s="80"/>
      <c r="H245" s="4"/>
      <c r="I245" s="76"/>
      <c r="J245" s="78"/>
      <c r="K245" s="78"/>
      <c r="L245" s="78"/>
      <c r="M245" s="78"/>
      <c r="N245" s="81"/>
      <c r="O245" s="78"/>
      <c r="P245" s="82"/>
      <c r="Q245" s="4"/>
      <c r="R245" s="78"/>
      <c r="S245" s="83"/>
      <c r="T245" s="4"/>
      <c r="U245" s="77"/>
    </row>
    <row r="246" spans="1:21" ht="18.75" customHeight="1" x14ac:dyDescent="0.2">
      <c r="A246" s="76"/>
      <c r="B246" s="77"/>
      <c r="C246" s="78"/>
      <c r="D246" s="79"/>
      <c r="E246" s="99"/>
      <c r="F246" s="78"/>
      <c r="G246" s="80"/>
      <c r="H246" s="4"/>
      <c r="I246" s="76"/>
      <c r="J246" s="78"/>
      <c r="K246" s="78"/>
      <c r="L246" s="78"/>
      <c r="M246" s="78"/>
      <c r="N246" s="81"/>
      <c r="O246" s="78"/>
      <c r="P246" s="82"/>
      <c r="Q246" s="4"/>
      <c r="R246" s="78"/>
      <c r="S246" s="83"/>
      <c r="T246" s="4"/>
      <c r="U246" s="77"/>
    </row>
    <row r="247" spans="1:21" ht="18.75" customHeight="1" x14ac:dyDescent="0.2">
      <c r="A247" s="76"/>
      <c r="B247" s="77"/>
      <c r="C247" s="78"/>
      <c r="D247" s="79"/>
      <c r="E247" s="99"/>
      <c r="F247" s="78"/>
      <c r="G247" s="80"/>
      <c r="H247" s="4"/>
      <c r="I247" s="76"/>
      <c r="J247" s="78"/>
      <c r="K247" s="78"/>
      <c r="L247" s="78"/>
      <c r="M247" s="78"/>
      <c r="N247" s="81"/>
      <c r="O247" s="78"/>
      <c r="P247" s="82"/>
      <c r="Q247" s="4"/>
      <c r="R247" s="78"/>
      <c r="S247" s="83"/>
      <c r="T247" s="4"/>
      <c r="U247" s="77"/>
    </row>
    <row r="248" spans="1:21" ht="18.75" customHeight="1" x14ac:dyDescent="0.2">
      <c r="A248" s="76"/>
      <c r="B248" s="77"/>
      <c r="C248" s="78"/>
      <c r="D248" s="79"/>
      <c r="E248" s="99"/>
      <c r="F248" s="78"/>
      <c r="G248" s="80"/>
      <c r="H248" s="4"/>
      <c r="I248" s="76"/>
      <c r="J248" s="78"/>
      <c r="K248" s="78"/>
      <c r="L248" s="78"/>
      <c r="M248" s="78"/>
      <c r="N248" s="81"/>
      <c r="O248" s="78"/>
      <c r="P248" s="82"/>
      <c r="Q248" s="4"/>
      <c r="R248" s="78"/>
      <c r="S248" s="83"/>
      <c r="T248" s="4"/>
      <c r="U248" s="77"/>
    </row>
    <row r="249" spans="1:21" ht="18.75" customHeight="1" x14ac:dyDescent="0.2">
      <c r="A249" s="76"/>
      <c r="B249" s="77"/>
      <c r="C249" s="78"/>
      <c r="D249" s="79"/>
      <c r="E249" s="99"/>
      <c r="F249" s="78"/>
      <c r="G249" s="80"/>
      <c r="H249" s="4"/>
      <c r="I249" s="76"/>
      <c r="J249" s="78"/>
      <c r="K249" s="78"/>
      <c r="L249" s="78"/>
      <c r="M249" s="78"/>
      <c r="N249" s="81"/>
      <c r="O249" s="78"/>
      <c r="P249" s="82"/>
      <c r="Q249" s="4"/>
      <c r="R249" s="78"/>
      <c r="S249" s="83"/>
      <c r="T249" s="4"/>
      <c r="U249" s="77"/>
    </row>
    <row r="250" spans="1:21" ht="18.75" customHeight="1" x14ac:dyDescent="0.2">
      <c r="A250" s="76"/>
      <c r="B250" s="77"/>
      <c r="C250" s="78"/>
      <c r="D250" s="79"/>
      <c r="E250" s="99"/>
      <c r="F250" s="78"/>
      <c r="G250" s="80"/>
      <c r="H250" s="4"/>
      <c r="I250" s="76"/>
      <c r="J250" s="78"/>
      <c r="K250" s="78"/>
      <c r="L250" s="78"/>
      <c r="M250" s="78"/>
      <c r="N250" s="81"/>
      <c r="O250" s="78"/>
      <c r="P250" s="82"/>
      <c r="Q250" s="4"/>
      <c r="R250" s="78"/>
      <c r="S250" s="83"/>
      <c r="T250" s="4"/>
      <c r="U250" s="77"/>
    </row>
    <row r="251" spans="1:21" ht="18.75" customHeight="1" x14ac:dyDescent="0.2">
      <c r="A251" s="76"/>
      <c r="B251" s="77"/>
      <c r="C251" s="78"/>
      <c r="D251" s="79"/>
      <c r="E251" s="99"/>
      <c r="F251" s="78"/>
      <c r="G251" s="80"/>
      <c r="H251" s="4"/>
      <c r="I251" s="76"/>
      <c r="J251" s="78"/>
      <c r="K251" s="78"/>
      <c r="L251" s="78"/>
      <c r="M251" s="78"/>
      <c r="N251" s="81"/>
      <c r="O251" s="78"/>
      <c r="P251" s="82"/>
      <c r="Q251" s="4"/>
      <c r="R251" s="78"/>
      <c r="S251" s="83"/>
      <c r="T251" s="4"/>
      <c r="U251" s="77"/>
    </row>
    <row r="252" spans="1:21" ht="18.75" customHeight="1" x14ac:dyDescent="0.2">
      <c r="A252" s="76"/>
      <c r="B252" s="77"/>
      <c r="C252" s="78"/>
      <c r="D252" s="79"/>
      <c r="E252" s="99"/>
      <c r="F252" s="78"/>
      <c r="G252" s="80"/>
      <c r="H252" s="4"/>
      <c r="I252" s="76"/>
      <c r="J252" s="78"/>
      <c r="K252" s="78"/>
      <c r="L252" s="78"/>
      <c r="M252" s="78"/>
      <c r="N252" s="81"/>
      <c r="O252" s="78"/>
      <c r="P252" s="82"/>
      <c r="Q252" s="4"/>
      <c r="R252" s="78"/>
      <c r="S252" s="83"/>
      <c r="T252" s="4"/>
      <c r="U252" s="77"/>
    </row>
    <row r="253" spans="1:21" ht="18.75" customHeight="1" x14ac:dyDescent="0.2">
      <c r="A253" s="76"/>
      <c r="B253" s="77"/>
      <c r="C253" s="78"/>
      <c r="D253" s="79"/>
      <c r="E253" s="99"/>
      <c r="F253" s="78"/>
      <c r="G253" s="80"/>
      <c r="H253" s="4"/>
      <c r="I253" s="76"/>
      <c r="J253" s="78"/>
      <c r="K253" s="78"/>
      <c r="L253" s="78"/>
      <c r="M253" s="78"/>
      <c r="N253" s="81"/>
      <c r="O253" s="78"/>
      <c r="P253" s="82"/>
      <c r="Q253" s="4"/>
      <c r="R253" s="78"/>
      <c r="S253" s="83"/>
      <c r="T253" s="4"/>
      <c r="U253" s="77"/>
    </row>
    <row r="254" spans="1:21" ht="18.75" customHeight="1" x14ac:dyDescent="0.2">
      <c r="A254" s="76"/>
      <c r="B254" s="77"/>
      <c r="C254" s="78"/>
      <c r="D254" s="79"/>
      <c r="E254" s="99"/>
      <c r="F254" s="78"/>
      <c r="G254" s="80"/>
      <c r="H254" s="4"/>
      <c r="I254" s="76"/>
      <c r="J254" s="78"/>
      <c r="K254" s="78"/>
      <c r="L254" s="78"/>
      <c r="M254" s="78"/>
      <c r="N254" s="81"/>
      <c r="O254" s="78"/>
      <c r="P254" s="82"/>
      <c r="Q254" s="4"/>
      <c r="R254" s="78"/>
      <c r="S254" s="83"/>
      <c r="T254" s="4"/>
      <c r="U254" s="77"/>
    </row>
    <row r="255" spans="1:21" ht="18.75" customHeight="1" x14ac:dyDescent="0.2">
      <c r="A255" s="76"/>
      <c r="B255" s="77"/>
      <c r="C255" s="78"/>
      <c r="D255" s="79"/>
      <c r="E255" s="99"/>
      <c r="F255" s="78"/>
      <c r="G255" s="80"/>
      <c r="H255" s="4"/>
      <c r="I255" s="76"/>
      <c r="J255" s="78"/>
      <c r="K255" s="78"/>
      <c r="L255" s="78"/>
      <c r="M255" s="78"/>
      <c r="N255" s="81"/>
      <c r="O255" s="78"/>
      <c r="P255" s="82"/>
      <c r="Q255" s="4"/>
      <c r="R255" s="78"/>
      <c r="S255" s="83"/>
      <c r="T255" s="4"/>
      <c r="U255" s="77"/>
    </row>
    <row r="256" spans="1:21" ht="18.75" customHeight="1" x14ac:dyDescent="0.2">
      <c r="A256" s="76"/>
      <c r="B256" s="77"/>
      <c r="C256" s="78"/>
      <c r="D256" s="79"/>
      <c r="E256" s="99"/>
      <c r="F256" s="78"/>
      <c r="G256" s="80"/>
      <c r="H256" s="4"/>
      <c r="I256" s="76"/>
      <c r="J256" s="78"/>
      <c r="K256" s="78"/>
      <c r="L256" s="78"/>
      <c r="M256" s="78"/>
      <c r="N256" s="81"/>
      <c r="O256" s="78"/>
      <c r="P256" s="82"/>
      <c r="Q256" s="4"/>
      <c r="R256" s="78"/>
      <c r="S256" s="83"/>
      <c r="T256" s="4"/>
      <c r="U256" s="77"/>
    </row>
    <row r="257" spans="1:21" ht="18.75" customHeight="1" x14ac:dyDescent="0.2">
      <c r="A257" s="76"/>
      <c r="B257" s="77"/>
      <c r="C257" s="78"/>
      <c r="D257" s="79"/>
      <c r="E257" s="99"/>
      <c r="F257" s="78"/>
      <c r="G257" s="80"/>
      <c r="H257" s="4"/>
      <c r="I257" s="76"/>
      <c r="J257" s="78"/>
      <c r="K257" s="78"/>
      <c r="L257" s="78"/>
      <c r="M257" s="78"/>
      <c r="N257" s="81"/>
      <c r="O257" s="78"/>
      <c r="P257" s="82"/>
      <c r="Q257" s="4"/>
      <c r="R257" s="78"/>
      <c r="S257" s="83"/>
      <c r="T257" s="4"/>
      <c r="U257" s="77"/>
    </row>
    <row r="258" spans="1:21" ht="18.75" customHeight="1" x14ac:dyDescent="0.2">
      <c r="A258" s="76"/>
      <c r="B258" s="77"/>
      <c r="C258" s="78"/>
      <c r="D258" s="79"/>
      <c r="E258" s="99"/>
      <c r="F258" s="78"/>
      <c r="G258" s="80"/>
      <c r="H258" s="4"/>
      <c r="I258" s="76"/>
      <c r="J258" s="78"/>
      <c r="K258" s="78"/>
      <c r="L258" s="78"/>
      <c r="M258" s="78"/>
      <c r="N258" s="81"/>
      <c r="O258" s="78"/>
      <c r="P258" s="82"/>
      <c r="Q258" s="4"/>
      <c r="R258" s="78"/>
      <c r="S258" s="83"/>
      <c r="T258" s="4"/>
      <c r="U258" s="77"/>
    </row>
    <row r="259" spans="1:21" ht="18.75" customHeight="1" x14ac:dyDescent="0.2">
      <c r="A259" s="76"/>
      <c r="B259" s="77"/>
      <c r="C259" s="78"/>
      <c r="D259" s="79"/>
      <c r="E259" s="99"/>
      <c r="F259" s="78"/>
      <c r="G259" s="80"/>
      <c r="H259" s="4"/>
      <c r="I259" s="76"/>
      <c r="J259" s="78"/>
      <c r="K259" s="78"/>
      <c r="L259" s="78"/>
      <c r="M259" s="78"/>
      <c r="N259" s="81"/>
      <c r="O259" s="78"/>
      <c r="P259" s="82"/>
      <c r="Q259" s="4"/>
      <c r="R259" s="78"/>
      <c r="S259" s="83"/>
      <c r="T259" s="4"/>
      <c r="U259" s="77"/>
    </row>
    <row r="260" spans="1:21" ht="18.75" customHeight="1" x14ac:dyDescent="0.2">
      <c r="A260" s="76"/>
      <c r="B260" s="77"/>
      <c r="C260" s="78"/>
      <c r="D260" s="79"/>
      <c r="E260" s="99"/>
      <c r="F260" s="78"/>
      <c r="G260" s="80"/>
      <c r="H260" s="4"/>
      <c r="I260" s="76"/>
      <c r="J260" s="78"/>
      <c r="K260" s="78"/>
      <c r="L260" s="78"/>
      <c r="M260" s="78"/>
      <c r="N260" s="81"/>
      <c r="O260" s="78"/>
      <c r="P260" s="82"/>
      <c r="Q260" s="4"/>
      <c r="R260" s="78"/>
      <c r="S260" s="83"/>
      <c r="T260" s="4"/>
      <c r="U260" s="77"/>
    </row>
    <row r="261" spans="1:21" ht="18.75" customHeight="1" x14ac:dyDescent="0.2">
      <c r="A261" s="76"/>
      <c r="B261" s="77"/>
      <c r="C261" s="78"/>
      <c r="D261" s="79"/>
      <c r="E261" s="99"/>
      <c r="F261" s="78"/>
      <c r="G261" s="80"/>
      <c r="H261" s="4"/>
      <c r="I261" s="76"/>
      <c r="J261" s="78"/>
      <c r="K261" s="78"/>
      <c r="L261" s="78"/>
      <c r="M261" s="78"/>
      <c r="N261" s="81"/>
      <c r="O261" s="78"/>
      <c r="P261" s="82"/>
      <c r="Q261" s="4"/>
      <c r="R261" s="78"/>
      <c r="S261" s="83"/>
      <c r="T261" s="4"/>
      <c r="U261" s="77"/>
    </row>
    <row r="262" spans="1:21" ht="18.75" customHeight="1" x14ac:dyDescent="0.2">
      <c r="A262" s="76"/>
      <c r="B262" s="77"/>
      <c r="C262" s="78"/>
      <c r="D262" s="79"/>
      <c r="E262" s="99"/>
      <c r="F262" s="78"/>
      <c r="G262" s="80"/>
      <c r="H262" s="4"/>
      <c r="I262" s="76"/>
      <c r="J262" s="78"/>
      <c r="K262" s="78"/>
      <c r="L262" s="78"/>
      <c r="M262" s="78"/>
      <c r="N262" s="81"/>
      <c r="O262" s="78"/>
      <c r="P262" s="82"/>
      <c r="Q262" s="4"/>
      <c r="R262" s="78"/>
      <c r="S262" s="83"/>
      <c r="T262" s="4"/>
      <c r="U262" s="77"/>
    </row>
    <row r="263" spans="1:21" ht="18.75" customHeight="1" x14ac:dyDescent="0.2">
      <c r="A263" s="76"/>
      <c r="B263" s="77"/>
      <c r="C263" s="78"/>
      <c r="D263" s="79"/>
      <c r="E263" s="99"/>
      <c r="F263" s="78"/>
      <c r="G263" s="80"/>
      <c r="H263" s="4"/>
      <c r="I263" s="76"/>
      <c r="J263" s="78"/>
      <c r="K263" s="78"/>
      <c r="L263" s="78"/>
      <c r="M263" s="78"/>
      <c r="N263" s="81"/>
      <c r="O263" s="78"/>
      <c r="P263" s="82"/>
      <c r="Q263" s="4"/>
      <c r="R263" s="78"/>
      <c r="S263" s="83"/>
      <c r="T263" s="4"/>
      <c r="U263" s="77"/>
    </row>
    <row r="264" spans="1:21" ht="18.75" customHeight="1" x14ac:dyDescent="0.2">
      <c r="A264" s="76"/>
      <c r="B264" s="77"/>
      <c r="C264" s="78"/>
      <c r="D264" s="79"/>
      <c r="E264" s="99"/>
      <c r="F264" s="78"/>
      <c r="G264" s="80"/>
      <c r="H264" s="4"/>
      <c r="I264" s="76"/>
      <c r="J264" s="78"/>
      <c r="K264" s="78"/>
      <c r="L264" s="78"/>
      <c r="M264" s="78"/>
      <c r="N264" s="81"/>
      <c r="O264" s="78"/>
      <c r="P264" s="82"/>
      <c r="Q264" s="4"/>
      <c r="R264" s="78"/>
      <c r="S264" s="83"/>
      <c r="T264" s="4"/>
      <c r="U264" s="77"/>
    </row>
    <row r="265" spans="1:21" ht="18.75" customHeight="1" x14ac:dyDescent="0.2">
      <c r="A265" s="76"/>
      <c r="B265" s="77"/>
      <c r="C265" s="78"/>
      <c r="D265" s="79"/>
      <c r="E265" s="99"/>
      <c r="F265" s="78"/>
      <c r="G265" s="80"/>
      <c r="H265" s="4"/>
      <c r="I265" s="76"/>
      <c r="J265" s="78"/>
      <c r="K265" s="78"/>
      <c r="L265" s="78"/>
      <c r="M265" s="78"/>
      <c r="N265" s="81"/>
      <c r="O265" s="78"/>
      <c r="P265" s="82"/>
      <c r="Q265" s="4"/>
      <c r="R265" s="78"/>
      <c r="S265" s="83"/>
      <c r="T265" s="4"/>
      <c r="U265" s="77"/>
    </row>
    <row r="266" spans="1:21" ht="18.75" customHeight="1" x14ac:dyDescent="0.2">
      <c r="A266" s="76"/>
      <c r="B266" s="77"/>
      <c r="C266" s="78"/>
      <c r="D266" s="79"/>
      <c r="E266" s="99"/>
      <c r="F266" s="78"/>
      <c r="G266" s="80"/>
      <c r="H266" s="4"/>
      <c r="I266" s="76"/>
      <c r="J266" s="78"/>
      <c r="K266" s="78"/>
      <c r="L266" s="78"/>
      <c r="M266" s="78"/>
      <c r="N266" s="81"/>
      <c r="O266" s="78"/>
      <c r="P266" s="82"/>
      <c r="Q266" s="4"/>
      <c r="R266" s="78"/>
      <c r="S266" s="83"/>
      <c r="T266" s="4"/>
      <c r="U266" s="77"/>
    </row>
    <row r="267" spans="1:21" ht="18.75" customHeight="1" x14ac:dyDescent="0.2">
      <c r="A267" s="76"/>
      <c r="B267" s="77"/>
      <c r="C267" s="78"/>
      <c r="D267" s="79"/>
      <c r="E267" s="99"/>
      <c r="F267" s="78"/>
      <c r="G267" s="80"/>
      <c r="H267" s="4"/>
      <c r="I267" s="76"/>
      <c r="J267" s="78"/>
      <c r="K267" s="78"/>
      <c r="L267" s="78"/>
      <c r="M267" s="78"/>
      <c r="N267" s="81"/>
      <c r="O267" s="78"/>
      <c r="P267" s="82"/>
      <c r="Q267" s="4"/>
      <c r="R267" s="78"/>
      <c r="S267" s="83"/>
      <c r="T267" s="4"/>
      <c r="U267" s="77"/>
    </row>
    <row r="268" spans="1:21" ht="18.75" customHeight="1" x14ac:dyDescent="0.2">
      <c r="A268" s="76"/>
      <c r="B268" s="77"/>
      <c r="C268" s="78"/>
      <c r="D268" s="79"/>
      <c r="E268" s="99"/>
      <c r="F268" s="78"/>
      <c r="G268" s="80"/>
      <c r="H268" s="4"/>
      <c r="I268" s="76"/>
      <c r="J268" s="78"/>
      <c r="K268" s="78"/>
      <c r="L268" s="78"/>
      <c r="M268" s="78"/>
      <c r="N268" s="81"/>
      <c r="O268" s="78"/>
      <c r="P268" s="82"/>
      <c r="Q268" s="4"/>
      <c r="R268" s="78"/>
      <c r="S268" s="83"/>
      <c r="T268" s="4"/>
      <c r="U268" s="77"/>
    </row>
    <row r="269" spans="1:21" ht="18.75" customHeight="1" x14ac:dyDescent="0.2">
      <c r="A269" s="76"/>
      <c r="B269" s="77"/>
      <c r="C269" s="78"/>
      <c r="D269" s="79"/>
      <c r="E269" s="99"/>
      <c r="F269" s="78"/>
      <c r="G269" s="80"/>
      <c r="H269" s="4"/>
      <c r="I269" s="76"/>
      <c r="J269" s="78"/>
      <c r="K269" s="78"/>
      <c r="L269" s="78"/>
      <c r="M269" s="78"/>
      <c r="N269" s="81"/>
      <c r="O269" s="78"/>
      <c r="P269" s="82"/>
      <c r="Q269" s="4"/>
      <c r="R269" s="78"/>
      <c r="S269" s="83"/>
      <c r="T269" s="4"/>
      <c r="U269" s="77"/>
    </row>
    <row r="270" spans="1:21" ht="18.75" customHeight="1" x14ac:dyDescent="0.2">
      <c r="A270" s="76"/>
      <c r="B270" s="77"/>
      <c r="C270" s="78"/>
      <c r="D270" s="79"/>
      <c r="E270" s="99"/>
      <c r="F270" s="78"/>
      <c r="G270" s="80"/>
      <c r="H270" s="4"/>
      <c r="I270" s="76"/>
      <c r="J270" s="78"/>
      <c r="K270" s="78"/>
      <c r="L270" s="78"/>
      <c r="M270" s="78"/>
      <c r="N270" s="81"/>
      <c r="O270" s="78"/>
      <c r="P270" s="82"/>
      <c r="Q270" s="4"/>
      <c r="R270" s="78"/>
      <c r="S270" s="83"/>
      <c r="T270" s="4"/>
      <c r="U270" s="77"/>
    </row>
    <row r="271" spans="1:21" ht="18.75" customHeight="1" x14ac:dyDescent="0.2">
      <c r="A271" s="76"/>
      <c r="B271" s="77"/>
      <c r="C271" s="78"/>
      <c r="D271" s="79"/>
      <c r="E271" s="99"/>
      <c r="F271" s="78"/>
      <c r="G271" s="80"/>
      <c r="H271" s="4"/>
      <c r="I271" s="76"/>
      <c r="J271" s="78"/>
      <c r="K271" s="78"/>
      <c r="L271" s="78"/>
      <c r="M271" s="78"/>
      <c r="N271" s="81"/>
      <c r="O271" s="78"/>
      <c r="P271" s="82"/>
      <c r="Q271" s="4"/>
      <c r="R271" s="78"/>
      <c r="S271" s="83"/>
      <c r="T271" s="4"/>
      <c r="U271" s="77"/>
    </row>
    <row r="272" spans="1:21" ht="18.75" customHeight="1" x14ac:dyDescent="0.2">
      <c r="A272" s="76"/>
      <c r="B272" s="77"/>
      <c r="C272" s="78"/>
      <c r="D272" s="79"/>
      <c r="E272" s="99"/>
      <c r="F272" s="78"/>
      <c r="G272" s="80"/>
      <c r="H272" s="4"/>
      <c r="I272" s="76"/>
      <c r="J272" s="78"/>
      <c r="K272" s="78"/>
      <c r="L272" s="78"/>
      <c r="M272" s="78"/>
      <c r="N272" s="81"/>
      <c r="O272" s="78"/>
      <c r="P272" s="82"/>
      <c r="Q272" s="4"/>
      <c r="R272" s="78"/>
      <c r="S272" s="83"/>
      <c r="T272" s="4"/>
      <c r="U272" s="77"/>
    </row>
    <row r="273" spans="1:21" ht="18.75" customHeight="1" x14ac:dyDescent="0.2">
      <c r="A273" s="76"/>
      <c r="B273" s="77"/>
      <c r="C273" s="78"/>
      <c r="D273" s="79"/>
      <c r="E273" s="99"/>
      <c r="F273" s="78"/>
      <c r="G273" s="80"/>
      <c r="H273" s="4"/>
      <c r="I273" s="76"/>
      <c r="J273" s="78"/>
      <c r="K273" s="78"/>
      <c r="L273" s="78"/>
      <c r="M273" s="78"/>
      <c r="N273" s="81"/>
      <c r="O273" s="78"/>
      <c r="P273" s="82"/>
      <c r="Q273" s="4"/>
      <c r="R273" s="78"/>
      <c r="S273" s="83"/>
      <c r="T273" s="4"/>
      <c r="U273" s="77"/>
    </row>
    <row r="274" spans="1:21" ht="18.75" customHeight="1" x14ac:dyDescent="0.2">
      <c r="A274" s="76"/>
      <c r="B274" s="77"/>
      <c r="C274" s="78"/>
      <c r="D274" s="79"/>
      <c r="E274" s="99"/>
      <c r="F274" s="78"/>
      <c r="G274" s="80"/>
      <c r="H274" s="4"/>
      <c r="I274" s="76"/>
      <c r="J274" s="78"/>
      <c r="K274" s="78"/>
      <c r="L274" s="78"/>
      <c r="M274" s="78"/>
      <c r="N274" s="81"/>
      <c r="O274" s="78"/>
      <c r="P274" s="82"/>
      <c r="Q274" s="4"/>
      <c r="R274" s="78"/>
      <c r="S274" s="83"/>
      <c r="T274" s="4"/>
      <c r="U274" s="77"/>
    </row>
    <row r="275" spans="1:21" ht="18.75" customHeight="1" x14ac:dyDescent="0.2">
      <c r="A275" s="76"/>
      <c r="B275" s="77"/>
      <c r="C275" s="78"/>
      <c r="D275" s="79"/>
      <c r="E275" s="99"/>
      <c r="F275" s="78"/>
      <c r="G275" s="80"/>
      <c r="H275" s="4"/>
      <c r="I275" s="76"/>
      <c r="J275" s="78"/>
      <c r="K275" s="78"/>
      <c r="L275" s="78"/>
      <c r="M275" s="78"/>
      <c r="N275" s="81"/>
      <c r="O275" s="78"/>
      <c r="P275" s="82"/>
      <c r="Q275" s="4"/>
      <c r="R275" s="78"/>
      <c r="S275" s="83"/>
      <c r="T275" s="4"/>
      <c r="U275" s="77"/>
    </row>
    <row r="276" spans="1:21" ht="18.75" customHeight="1" x14ac:dyDescent="0.2">
      <c r="A276" s="76"/>
      <c r="B276" s="77"/>
      <c r="C276" s="78"/>
      <c r="D276" s="79"/>
      <c r="E276" s="99"/>
      <c r="F276" s="78"/>
      <c r="G276" s="80"/>
      <c r="H276" s="4"/>
      <c r="I276" s="76"/>
      <c r="J276" s="78"/>
      <c r="K276" s="78"/>
      <c r="L276" s="78"/>
      <c r="M276" s="78"/>
      <c r="N276" s="81"/>
      <c r="O276" s="78"/>
      <c r="P276" s="82"/>
      <c r="Q276" s="4"/>
      <c r="R276" s="78"/>
      <c r="S276" s="83"/>
      <c r="T276" s="4"/>
      <c r="U276" s="77"/>
    </row>
    <row r="277" spans="1:21" ht="18.75" customHeight="1" x14ac:dyDescent="0.2">
      <c r="A277" s="76"/>
      <c r="B277" s="77"/>
      <c r="C277" s="78"/>
      <c r="D277" s="79"/>
      <c r="E277" s="99"/>
      <c r="F277" s="78"/>
      <c r="G277" s="80"/>
      <c r="H277" s="4"/>
      <c r="I277" s="76"/>
      <c r="J277" s="78"/>
      <c r="K277" s="78"/>
      <c r="L277" s="78"/>
      <c r="M277" s="78"/>
      <c r="N277" s="81"/>
      <c r="O277" s="78"/>
      <c r="P277" s="82"/>
      <c r="Q277" s="4"/>
      <c r="R277" s="78"/>
      <c r="S277" s="83"/>
      <c r="T277" s="4"/>
      <c r="U277" s="77"/>
    </row>
    <row r="278" spans="1:21" ht="18.75" customHeight="1" x14ac:dyDescent="0.2">
      <c r="A278" s="76"/>
      <c r="B278" s="77"/>
      <c r="C278" s="78"/>
      <c r="D278" s="79"/>
      <c r="E278" s="99"/>
      <c r="F278" s="78"/>
      <c r="G278" s="80"/>
      <c r="H278" s="4"/>
      <c r="I278" s="76"/>
      <c r="J278" s="78"/>
      <c r="K278" s="78"/>
      <c r="L278" s="78"/>
      <c r="M278" s="78"/>
      <c r="N278" s="81"/>
      <c r="O278" s="78"/>
      <c r="P278" s="82"/>
      <c r="Q278" s="4"/>
      <c r="R278" s="78"/>
      <c r="S278" s="83"/>
      <c r="T278" s="4"/>
      <c r="U278" s="77"/>
    </row>
    <row r="279" spans="1:21" ht="18.75" customHeight="1" x14ac:dyDescent="0.2">
      <c r="A279" s="76"/>
      <c r="B279" s="77"/>
      <c r="C279" s="78"/>
      <c r="D279" s="79"/>
      <c r="E279" s="99"/>
      <c r="F279" s="78"/>
      <c r="G279" s="80"/>
      <c r="H279" s="4"/>
      <c r="I279" s="76"/>
      <c r="J279" s="78"/>
      <c r="K279" s="78"/>
      <c r="L279" s="78"/>
      <c r="M279" s="78"/>
      <c r="N279" s="81"/>
      <c r="O279" s="78"/>
      <c r="P279" s="82"/>
      <c r="Q279" s="4"/>
      <c r="R279" s="78"/>
      <c r="S279" s="83"/>
      <c r="T279" s="4"/>
      <c r="U279" s="77"/>
    </row>
    <row r="280" spans="1:21" ht="18.75" customHeight="1" x14ac:dyDescent="0.2">
      <c r="A280" s="76"/>
      <c r="B280" s="77"/>
      <c r="C280" s="78"/>
      <c r="D280" s="79"/>
      <c r="E280" s="99"/>
      <c r="F280" s="78"/>
      <c r="G280" s="80"/>
      <c r="H280" s="4"/>
      <c r="I280" s="76"/>
      <c r="J280" s="78"/>
      <c r="K280" s="78"/>
      <c r="L280" s="78"/>
      <c r="M280" s="78"/>
      <c r="N280" s="81"/>
      <c r="O280" s="78"/>
      <c r="P280" s="82"/>
      <c r="Q280" s="4"/>
      <c r="R280" s="78"/>
      <c r="S280" s="83"/>
      <c r="T280" s="4"/>
      <c r="U280" s="77"/>
    </row>
    <row r="281" spans="1:21" ht="18.75" customHeight="1" x14ac:dyDescent="0.2">
      <c r="A281" s="76"/>
      <c r="B281" s="77"/>
      <c r="C281" s="78"/>
      <c r="D281" s="79"/>
      <c r="E281" s="99"/>
      <c r="F281" s="78"/>
      <c r="G281" s="80"/>
      <c r="H281" s="4"/>
      <c r="I281" s="76"/>
      <c r="J281" s="78"/>
      <c r="K281" s="78"/>
      <c r="L281" s="78"/>
      <c r="M281" s="78"/>
      <c r="N281" s="81"/>
      <c r="O281" s="78"/>
      <c r="P281" s="82"/>
      <c r="Q281" s="4"/>
      <c r="R281" s="78"/>
      <c r="S281" s="83"/>
      <c r="T281" s="4"/>
      <c r="U281" s="77"/>
    </row>
    <row r="282" spans="1:21" ht="18.75" customHeight="1" x14ac:dyDescent="0.2">
      <c r="A282" s="76"/>
      <c r="B282" s="77"/>
      <c r="C282" s="78"/>
      <c r="D282" s="79"/>
      <c r="E282" s="99"/>
      <c r="F282" s="78"/>
      <c r="G282" s="80"/>
      <c r="H282" s="4"/>
      <c r="I282" s="76"/>
      <c r="J282" s="78"/>
      <c r="K282" s="78"/>
      <c r="L282" s="78"/>
      <c r="M282" s="78"/>
      <c r="N282" s="81"/>
      <c r="O282" s="78"/>
      <c r="P282" s="82"/>
      <c r="Q282" s="4"/>
      <c r="R282" s="78"/>
      <c r="S282" s="83"/>
      <c r="T282" s="4"/>
      <c r="U282" s="77"/>
    </row>
    <row r="283" spans="1:21" ht="18.75" customHeight="1" x14ac:dyDescent="0.2">
      <c r="A283" s="76"/>
      <c r="B283" s="77"/>
      <c r="C283" s="78"/>
      <c r="D283" s="79"/>
      <c r="E283" s="99"/>
      <c r="F283" s="78"/>
      <c r="G283" s="80"/>
      <c r="H283" s="4"/>
      <c r="I283" s="76"/>
      <c r="J283" s="78"/>
      <c r="K283" s="78"/>
      <c r="L283" s="78"/>
      <c r="M283" s="78"/>
      <c r="N283" s="81"/>
      <c r="O283" s="78"/>
      <c r="P283" s="82"/>
      <c r="Q283" s="4"/>
      <c r="R283" s="78"/>
      <c r="S283" s="83"/>
      <c r="T283" s="4"/>
      <c r="U283" s="77"/>
    </row>
    <row r="284" spans="1:21" ht="18.75" customHeight="1" x14ac:dyDescent="0.2">
      <c r="A284" s="76"/>
      <c r="B284" s="77"/>
      <c r="C284" s="78"/>
      <c r="D284" s="79"/>
      <c r="E284" s="99"/>
      <c r="F284" s="78"/>
      <c r="G284" s="80"/>
      <c r="H284" s="4"/>
      <c r="I284" s="76"/>
      <c r="J284" s="78"/>
      <c r="K284" s="78"/>
      <c r="L284" s="78"/>
      <c r="M284" s="78"/>
      <c r="N284" s="81"/>
      <c r="O284" s="78"/>
      <c r="P284" s="82"/>
      <c r="Q284" s="4"/>
      <c r="R284" s="78"/>
      <c r="S284" s="83"/>
      <c r="T284" s="4"/>
      <c r="U284" s="77"/>
    </row>
    <row r="285" spans="1:21" ht="18.75" customHeight="1" x14ac:dyDescent="0.2">
      <c r="A285" s="76"/>
      <c r="B285" s="77"/>
      <c r="C285" s="78"/>
      <c r="D285" s="79"/>
      <c r="E285" s="99"/>
      <c r="F285" s="78"/>
      <c r="G285" s="80"/>
      <c r="H285" s="4"/>
      <c r="I285" s="76"/>
      <c r="J285" s="78"/>
      <c r="K285" s="78"/>
      <c r="L285" s="78"/>
      <c r="M285" s="78"/>
      <c r="N285" s="81"/>
      <c r="O285" s="78"/>
      <c r="P285" s="82"/>
      <c r="Q285" s="4"/>
      <c r="R285" s="78"/>
      <c r="S285" s="83"/>
      <c r="T285" s="4"/>
      <c r="U285" s="77"/>
    </row>
    <row r="286" spans="1:21" ht="18.75" customHeight="1" x14ac:dyDescent="0.2">
      <c r="A286" s="76"/>
      <c r="B286" s="77"/>
      <c r="C286" s="78"/>
      <c r="D286" s="79"/>
      <c r="E286" s="99"/>
      <c r="F286" s="78"/>
      <c r="G286" s="80"/>
      <c r="H286" s="4"/>
      <c r="I286" s="76"/>
      <c r="J286" s="78"/>
      <c r="K286" s="78"/>
      <c r="L286" s="78"/>
      <c r="M286" s="78"/>
      <c r="N286" s="81"/>
      <c r="O286" s="78"/>
      <c r="P286" s="82"/>
      <c r="Q286" s="4"/>
      <c r="R286" s="78"/>
      <c r="S286" s="83"/>
      <c r="T286" s="4"/>
      <c r="U286" s="77"/>
    </row>
    <row r="287" spans="1:21" ht="18.75" customHeight="1" x14ac:dyDescent="0.2">
      <c r="A287" s="76"/>
      <c r="B287" s="77"/>
      <c r="C287" s="78"/>
      <c r="D287" s="79"/>
      <c r="E287" s="99"/>
      <c r="F287" s="78"/>
      <c r="G287" s="80"/>
      <c r="H287" s="4"/>
      <c r="I287" s="76"/>
      <c r="J287" s="78"/>
      <c r="K287" s="78"/>
      <c r="L287" s="78"/>
      <c r="M287" s="78"/>
      <c r="N287" s="81"/>
      <c r="O287" s="78"/>
      <c r="P287" s="82"/>
      <c r="Q287" s="4"/>
      <c r="R287" s="78"/>
      <c r="S287" s="83"/>
      <c r="T287" s="4"/>
      <c r="U287" s="77"/>
    </row>
    <row r="288" spans="1:21" ht="18.75" customHeight="1" x14ac:dyDescent="0.2">
      <c r="A288" s="76"/>
      <c r="B288" s="77"/>
      <c r="C288" s="78"/>
      <c r="D288" s="79"/>
      <c r="E288" s="99"/>
      <c r="F288" s="78"/>
      <c r="G288" s="80"/>
      <c r="H288" s="4"/>
      <c r="I288" s="76"/>
      <c r="J288" s="78"/>
      <c r="K288" s="78"/>
      <c r="L288" s="78"/>
      <c r="M288" s="78"/>
      <c r="N288" s="81"/>
      <c r="O288" s="78"/>
      <c r="P288" s="82"/>
      <c r="Q288" s="4"/>
      <c r="R288" s="78"/>
      <c r="S288" s="83"/>
      <c r="T288" s="4"/>
      <c r="U288" s="77"/>
    </row>
    <row r="289" spans="1:21" ht="18.75" customHeight="1" x14ac:dyDescent="0.2">
      <c r="A289" s="76"/>
      <c r="B289" s="77"/>
      <c r="C289" s="78"/>
      <c r="D289" s="79"/>
      <c r="E289" s="99"/>
      <c r="F289" s="78"/>
      <c r="G289" s="80"/>
      <c r="H289" s="4"/>
      <c r="I289" s="76"/>
      <c r="J289" s="78"/>
      <c r="K289" s="78"/>
      <c r="L289" s="78"/>
      <c r="M289" s="78"/>
      <c r="N289" s="81"/>
      <c r="O289" s="78"/>
      <c r="P289" s="82"/>
      <c r="Q289" s="4"/>
      <c r="R289" s="78"/>
      <c r="S289" s="83"/>
      <c r="T289" s="4"/>
      <c r="U289" s="77"/>
    </row>
    <row r="290" spans="1:21" ht="18.75" customHeight="1" x14ac:dyDescent="0.2">
      <c r="A290" s="76"/>
      <c r="B290" s="77"/>
      <c r="C290" s="78"/>
      <c r="D290" s="79"/>
      <c r="E290" s="99"/>
      <c r="F290" s="78"/>
      <c r="G290" s="80"/>
      <c r="H290" s="4"/>
      <c r="I290" s="76"/>
      <c r="J290" s="78"/>
      <c r="K290" s="78"/>
      <c r="L290" s="78"/>
      <c r="M290" s="78"/>
      <c r="N290" s="81"/>
      <c r="O290" s="78"/>
      <c r="P290" s="82"/>
      <c r="Q290" s="4"/>
      <c r="R290" s="78"/>
      <c r="S290" s="83"/>
      <c r="T290" s="4"/>
      <c r="U290" s="77"/>
    </row>
    <row r="291" spans="1:21" ht="18.75" customHeight="1" x14ac:dyDescent="0.2">
      <c r="A291" s="76"/>
      <c r="B291" s="77"/>
      <c r="C291" s="78"/>
      <c r="D291" s="79"/>
      <c r="E291" s="99"/>
      <c r="F291" s="78"/>
      <c r="G291" s="80"/>
      <c r="H291" s="4"/>
      <c r="I291" s="76"/>
      <c r="J291" s="78"/>
      <c r="K291" s="78"/>
      <c r="L291" s="78"/>
      <c r="M291" s="78"/>
      <c r="N291" s="81"/>
      <c r="O291" s="78"/>
      <c r="P291" s="82"/>
      <c r="Q291" s="4"/>
      <c r="R291" s="78"/>
      <c r="S291" s="83"/>
      <c r="T291" s="4"/>
      <c r="U291" s="77"/>
    </row>
    <row r="292" spans="1:21" ht="18.75" customHeight="1" x14ac:dyDescent="0.2">
      <c r="A292" s="76"/>
      <c r="B292" s="77"/>
      <c r="C292" s="78"/>
      <c r="D292" s="79"/>
      <c r="E292" s="99"/>
      <c r="F292" s="78"/>
      <c r="G292" s="80"/>
      <c r="H292" s="4"/>
      <c r="I292" s="76"/>
      <c r="J292" s="78"/>
      <c r="K292" s="78"/>
      <c r="L292" s="78"/>
      <c r="M292" s="78"/>
      <c r="N292" s="81"/>
      <c r="O292" s="78"/>
      <c r="P292" s="82"/>
      <c r="Q292" s="4"/>
      <c r="R292" s="78"/>
      <c r="S292" s="83"/>
      <c r="T292" s="4"/>
      <c r="U292" s="77"/>
    </row>
    <row r="293" spans="1:21" ht="18.75" customHeight="1" x14ac:dyDescent="0.2">
      <c r="A293" s="76"/>
      <c r="B293" s="77"/>
      <c r="C293" s="78"/>
      <c r="D293" s="79"/>
      <c r="E293" s="99"/>
      <c r="F293" s="78"/>
      <c r="G293" s="80"/>
      <c r="H293" s="4"/>
      <c r="I293" s="76"/>
      <c r="J293" s="78"/>
      <c r="K293" s="78"/>
      <c r="L293" s="78"/>
      <c r="M293" s="78"/>
      <c r="N293" s="81"/>
      <c r="O293" s="78"/>
      <c r="P293" s="82"/>
      <c r="Q293" s="4"/>
      <c r="R293" s="78"/>
      <c r="S293" s="83"/>
      <c r="T293" s="4"/>
      <c r="U293" s="77"/>
    </row>
    <row r="294" spans="1:21" ht="18.75" customHeight="1" x14ac:dyDescent="0.2">
      <c r="A294" s="76"/>
      <c r="B294" s="77"/>
      <c r="C294" s="78"/>
      <c r="D294" s="79"/>
      <c r="E294" s="99"/>
      <c r="F294" s="78"/>
      <c r="G294" s="80"/>
      <c r="H294" s="4"/>
      <c r="I294" s="76"/>
      <c r="J294" s="78"/>
      <c r="K294" s="78"/>
      <c r="L294" s="78"/>
      <c r="M294" s="78"/>
      <c r="N294" s="81"/>
      <c r="O294" s="78"/>
      <c r="P294" s="82"/>
      <c r="Q294" s="4"/>
      <c r="R294" s="78"/>
      <c r="S294" s="83"/>
      <c r="T294" s="4"/>
      <c r="U294" s="77"/>
    </row>
    <row r="295" spans="1:21" ht="18.75" customHeight="1" x14ac:dyDescent="0.2">
      <c r="A295" s="76"/>
      <c r="B295" s="77"/>
      <c r="C295" s="78"/>
      <c r="D295" s="79"/>
      <c r="E295" s="99"/>
      <c r="F295" s="78"/>
      <c r="G295" s="80"/>
      <c r="H295" s="4"/>
      <c r="I295" s="76"/>
      <c r="J295" s="78"/>
      <c r="K295" s="78"/>
      <c r="L295" s="78"/>
      <c r="M295" s="78"/>
      <c r="N295" s="81"/>
      <c r="O295" s="78"/>
      <c r="P295" s="82"/>
      <c r="Q295" s="4"/>
      <c r="R295" s="78"/>
      <c r="S295" s="83"/>
      <c r="T295" s="4"/>
      <c r="U295" s="77"/>
    </row>
    <row r="296" spans="1:21" ht="18.75" customHeight="1" x14ac:dyDescent="0.2">
      <c r="A296" s="76"/>
      <c r="B296" s="77"/>
      <c r="C296" s="78"/>
      <c r="D296" s="79"/>
      <c r="E296" s="99"/>
      <c r="F296" s="78"/>
      <c r="G296" s="80"/>
      <c r="H296" s="4"/>
      <c r="I296" s="76"/>
      <c r="J296" s="78"/>
      <c r="K296" s="78"/>
      <c r="L296" s="78"/>
      <c r="M296" s="78"/>
      <c r="N296" s="81"/>
      <c r="O296" s="78"/>
      <c r="P296" s="82"/>
      <c r="Q296" s="4"/>
      <c r="R296" s="78"/>
      <c r="S296" s="83"/>
      <c r="T296" s="4"/>
      <c r="U296" s="77"/>
    </row>
    <row r="297" spans="1:21" ht="18.75" customHeight="1" x14ac:dyDescent="0.2">
      <c r="A297" s="76"/>
      <c r="B297" s="77"/>
      <c r="C297" s="78"/>
      <c r="D297" s="79"/>
      <c r="E297" s="99"/>
      <c r="F297" s="78"/>
      <c r="G297" s="80"/>
      <c r="H297" s="4"/>
      <c r="I297" s="76"/>
      <c r="J297" s="78"/>
      <c r="K297" s="78"/>
      <c r="L297" s="78"/>
      <c r="M297" s="78"/>
      <c r="N297" s="81"/>
      <c r="O297" s="78"/>
      <c r="P297" s="82"/>
      <c r="Q297" s="4"/>
      <c r="R297" s="78"/>
      <c r="S297" s="83"/>
      <c r="T297" s="4"/>
      <c r="U297" s="77"/>
    </row>
    <row r="298" spans="1:21" ht="18.75" customHeight="1" x14ac:dyDescent="0.2">
      <c r="A298" s="76"/>
      <c r="B298" s="77"/>
      <c r="C298" s="78"/>
      <c r="D298" s="79"/>
      <c r="E298" s="99"/>
      <c r="F298" s="78"/>
      <c r="G298" s="80"/>
      <c r="H298" s="4"/>
      <c r="I298" s="76"/>
      <c r="J298" s="78"/>
      <c r="K298" s="78"/>
      <c r="L298" s="78"/>
      <c r="M298" s="78"/>
      <c r="N298" s="81"/>
      <c r="O298" s="78"/>
      <c r="P298" s="82"/>
      <c r="Q298" s="4"/>
      <c r="R298" s="78"/>
      <c r="S298" s="83"/>
      <c r="T298" s="4"/>
      <c r="U298" s="77"/>
    </row>
    <row r="299" spans="1:21" ht="18.75" customHeight="1" x14ac:dyDescent="0.2">
      <c r="A299" s="76"/>
      <c r="B299" s="77"/>
      <c r="C299" s="78"/>
      <c r="D299" s="79"/>
      <c r="E299" s="99"/>
      <c r="F299" s="78"/>
      <c r="G299" s="80"/>
      <c r="H299" s="4"/>
      <c r="I299" s="76"/>
      <c r="J299" s="78"/>
      <c r="K299" s="78"/>
      <c r="L299" s="78"/>
      <c r="M299" s="78"/>
      <c r="N299" s="81"/>
      <c r="O299" s="78"/>
      <c r="P299" s="82"/>
      <c r="Q299" s="4"/>
      <c r="R299" s="78"/>
      <c r="S299" s="83"/>
      <c r="T299" s="4"/>
      <c r="U299" s="77"/>
    </row>
    <row r="300" spans="1:21" ht="18.75" customHeight="1" x14ac:dyDescent="0.2">
      <c r="A300" s="76"/>
      <c r="B300" s="77"/>
      <c r="C300" s="78"/>
      <c r="D300" s="79"/>
      <c r="E300" s="99"/>
      <c r="F300" s="78"/>
      <c r="G300" s="80"/>
      <c r="H300" s="4"/>
      <c r="I300" s="76"/>
      <c r="J300" s="78"/>
      <c r="K300" s="78"/>
      <c r="L300" s="78"/>
      <c r="M300" s="78"/>
      <c r="N300" s="81"/>
      <c r="O300" s="78"/>
      <c r="P300" s="82"/>
      <c r="Q300" s="4"/>
      <c r="R300" s="78"/>
      <c r="S300" s="83"/>
      <c r="T300" s="4"/>
      <c r="U300" s="77"/>
    </row>
    <row r="301" spans="1:21" ht="18.75" customHeight="1" x14ac:dyDescent="0.2">
      <c r="A301" s="76"/>
      <c r="B301" s="77"/>
      <c r="C301" s="78"/>
      <c r="D301" s="79"/>
      <c r="E301" s="99"/>
      <c r="F301" s="78"/>
      <c r="G301" s="80"/>
      <c r="H301" s="4"/>
      <c r="I301" s="76"/>
      <c r="J301" s="78"/>
      <c r="K301" s="78"/>
      <c r="L301" s="78"/>
      <c r="M301" s="78"/>
      <c r="N301" s="81"/>
      <c r="O301" s="78"/>
      <c r="P301" s="82"/>
      <c r="Q301" s="4"/>
      <c r="R301" s="78"/>
      <c r="S301" s="83"/>
      <c r="T301" s="4"/>
      <c r="U301" s="77"/>
    </row>
    <row r="302" spans="1:21" ht="18.75" customHeight="1" x14ac:dyDescent="0.2">
      <c r="A302" s="76"/>
      <c r="B302" s="77"/>
      <c r="C302" s="78"/>
      <c r="D302" s="79"/>
      <c r="E302" s="99"/>
      <c r="F302" s="78"/>
      <c r="G302" s="80"/>
      <c r="H302" s="4"/>
      <c r="I302" s="76"/>
      <c r="J302" s="78"/>
      <c r="K302" s="78"/>
      <c r="L302" s="78"/>
      <c r="M302" s="78"/>
      <c r="N302" s="81"/>
      <c r="O302" s="78"/>
      <c r="P302" s="82"/>
      <c r="Q302" s="4"/>
      <c r="R302" s="78"/>
      <c r="S302" s="83"/>
      <c r="T302" s="4"/>
      <c r="U302" s="77"/>
    </row>
    <row r="303" spans="1:21" ht="18.75" customHeight="1" x14ac:dyDescent="0.2">
      <c r="A303" s="76"/>
      <c r="B303" s="77"/>
      <c r="C303" s="78"/>
      <c r="D303" s="79"/>
      <c r="E303" s="99"/>
      <c r="F303" s="78"/>
      <c r="G303" s="80"/>
      <c r="H303" s="4"/>
      <c r="I303" s="76"/>
      <c r="J303" s="78"/>
      <c r="K303" s="78"/>
      <c r="L303" s="78"/>
      <c r="M303" s="78"/>
      <c r="N303" s="81"/>
      <c r="O303" s="78"/>
      <c r="P303" s="82"/>
      <c r="Q303" s="4"/>
      <c r="R303" s="78"/>
      <c r="S303" s="83"/>
      <c r="T303" s="4"/>
      <c r="U303" s="77"/>
    </row>
    <row r="304" spans="1:21" ht="18.75" customHeight="1" x14ac:dyDescent="0.2">
      <c r="A304" s="76"/>
      <c r="B304" s="77"/>
      <c r="C304" s="78"/>
      <c r="D304" s="79"/>
      <c r="E304" s="99"/>
      <c r="F304" s="78"/>
      <c r="G304" s="80"/>
      <c r="H304" s="4"/>
      <c r="I304" s="76"/>
      <c r="J304" s="78"/>
      <c r="K304" s="78"/>
      <c r="L304" s="78"/>
      <c r="M304" s="78"/>
      <c r="N304" s="81"/>
      <c r="O304" s="78"/>
      <c r="P304" s="82"/>
      <c r="Q304" s="4"/>
      <c r="R304" s="78"/>
      <c r="S304" s="83"/>
      <c r="T304" s="4"/>
      <c r="U304" s="77"/>
    </row>
    <row r="305" spans="1:21" ht="18.75" customHeight="1" x14ac:dyDescent="0.2">
      <c r="A305" s="76"/>
      <c r="B305" s="77"/>
      <c r="C305" s="78"/>
      <c r="D305" s="79"/>
      <c r="E305" s="99"/>
      <c r="F305" s="78"/>
      <c r="G305" s="80"/>
      <c r="H305" s="4"/>
      <c r="I305" s="76"/>
      <c r="J305" s="78"/>
      <c r="K305" s="78"/>
      <c r="L305" s="78"/>
      <c r="M305" s="78"/>
      <c r="N305" s="81"/>
      <c r="O305" s="78"/>
      <c r="P305" s="82"/>
      <c r="Q305" s="4"/>
      <c r="R305" s="78"/>
      <c r="S305" s="83"/>
      <c r="T305" s="4"/>
      <c r="U305" s="77"/>
    </row>
    <row r="306" spans="1:21" ht="18.75" customHeight="1" x14ac:dyDescent="0.2">
      <c r="A306" s="76"/>
      <c r="B306" s="77"/>
      <c r="C306" s="78"/>
      <c r="D306" s="79"/>
      <c r="E306" s="99"/>
      <c r="F306" s="78"/>
      <c r="G306" s="80"/>
      <c r="H306" s="4"/>
      <c r="I306" s="76"/>
      <c r="J306" s="78"/>
      <c r="K306" s="78"/>
      <c r="L306" s="78"/>
      <c r="M306" s="78"/>
      <c r="N306" s="81"/>
      <c r="O306" s="78"/>
      <c r="P306" s="82"/>
      <c r="Q306" s="4"/>
      <c r="R306" s="78"/>
      <c r="S306" s="83"/>
      <c r="T306" s="4"/>
      <c r="U306" s="77"/>
    </row>
    <row r="307" spans="1:21" ht="18.75" customHeight="1" x14ac:dyDescent="0.2">
      <c r="A307" s="76"/>
      <c r="B307" s="77"/>
      <c r="C307" s="78"/>
      <c r="D307" s="79"/>
      <c r="E307" s="99"/>
      <c r="F307" s="78"/>
      <c r="G307" s="80"/>
      <c r="H307" s="4"/>
      <c r="I307" s="76"/>
      <c r="J307" s="78"/>
      <c r="K307" s="78"/>
      <c r="L307" s="78"/>
      <c r="M307" s="78"/>
      <c r="N307" s="81"/>
      <c r="O307" s="78"/>
      <c r="P307" s="82"/>
      <c r="Q307" s="4"/>
      <c r="R307" s="78"/>
      <c r="S307" s="83"/>
      <c r="T307" s="4"/>
      <c r="U307" s="77"/>
    </row>
    <row r="308" spans="1:21" ht="18.75" customHeight="1" x14ac:dyDescent="0.2">
      <c r="A308" s="76"/>
      <c r="B308" s="77"/>
      <c r="C308" s="78"/>
      <c r="D308" s="79"/>
      <c r="E308" s="99"/>
      <c r="F308" s="78"/>
      <c r="G308" s="80"/>
      <c r="H308" s="4"/>
      <c r="I308" s="76"/>
      <c r="J308" s="78"/>
      <c r="K308" s="78"/>
      <c r="L308" s="78"/>
      <c r="M308" s="78"/>
      <c r="N308" s="81"/>
      <c r="O308" s="78"/>
      <c r="P308" s="82"/>
      <c r="Q308" s="4"/>
      <c r="R308" s="78"/>
      <c r="S308" s="83"/>
      <c r="T308" s="4"/>
      <c r="U308" s="77"/>
    </row>
    <row r="309" spans="1:21" ht="18.75" customHeight="1" x14ac:dyDescent="0.2">
      <c r="A309" s="76"/>
      <c r="B309" s="77"/>
      <c r="C309" s="78"/>
      <c r="D309" s="79"/>
      <c r="E309" s="99"/>
      <c r="F309" s="78"/>
      <c r="G309" s="80"/>
      <c r="H309" s="4"/>
      <c r="I309" s="76"/>
      <c r="J309" s="78"/>
      <c r="K309" s="78"/>
      <c r="L309" s="78"/>
      <c r="M309" s="78"/>
      <c r="N309" s="81"/>
      <c r="O309" s="78"/>
      <c r="P309" s="82"/>
      <c r="Q309" s="4"/>
      <c r="R309" s="78"/>
      <c r="S309" s="83"/>
      <c r="T309" s="4"/>
      <c r="U309" s="77"/>
    </row>
    <row r="310" spans="1:21" ht="18.75" customHeight="1" x14ac:dyDescent="0.2">
      <c r="A310" s="76"/>
      <c r="B310" s="77"/>
      <c r="C310" s="78"/>
      <c r="D310" s="79"/>
      <c r="E310" s="99"/>
      <c r="F310" s="78"/>
      <c r="G310" s="80"/>
      <c r="H310" s="4"/>
      <c r="I310" s="76"/>
      <c r="J310" s="78"/>
      <c r="K310" s="78"/>
      <c r="L310" s="78"/>
      <c r="M310" s="78"/>
      <c r="N310" s="81"/>
      <c r="O310" s="78"/>
      <c r="P310" s="82"/>
      <c r="Q310" s="4"/>
      <c r="R310" s="78"/>
      <c r="S310" s="83"/>
      <c r="T310" s="4"/>
      <c r="U310" s="77"/>
    </row>
    <row r="311" spans="1:21" ht="18.75" customHeight="1" x14ac:dyDescent="0.2">
      <c r="A311" s="76"/>
      <c r="B311" s="77"/>
      <c r="C311" s="78"/>
      <c r="D311" s="79"/>
      <c r="E311" s="99"/>
      <c r="F311" s="78"/>
      <c r="G311" s="80"/>
      <c r="H311" s="4"/>
      <c r="I311" s="76"/>
      <c r="J311" s="78"/>
      <c r="K311" s="78"/>
      <c r="L311" s="78"/>
      <c r="M311" s="78"/>
      <c r="N311" s="81"/>
      <c r="O311" s="78"/>
      <c r="P311" s="82"/>
      <c r="Q311" s="4"/>
      <c r="R311" s="78"/>
      <c r="S311" s="83"/>
      <c r="T311" s="4"/>
      <c r="U311" s="77"/>
    </row>
    <row r="312" spans="1:21" ht="18.75" customHeight="1" x14ac:dyDescent="0.2">
      <c r="A312" s="76"/>
      <c r="B312" s="77"/>
      <c r="C312" s="78"/>
      <c r="D312" s="79"/>
      <c r="E312" s="99"/>
      <c r="F312" s="78"/>
      <c r="G312" s="80"/>
      <c r="H312" s="4"/>
      <c r="I312" s="76"/>
      <c r="J312" s="78"/>
      <c r="K312" s="78"/>
      <c r="L312" s="78"/>
      <c r="M312" s="78"/>
      <c r="N312" s="81"/>
      <c r="O312" s="78"/>
      <c r="P312" s="82"/>
      <c r="Q312" s="4"/>
      <c r="R312" s="78"/>
      <c r="S312" s="83"/>
      <c r="T312" s="4"/>
      <c r="U312" s="77"/>
    </row>
    <row r="313" spans="1:21" ht="18.75" customHeight="1" x14ac:dyDescent="0.2">
      <c r="A313" s="76"/>
      <c r="B313" s="77"/>
      <c r="C313" s="78"/>
      <c r="D313" s="79"/>
      <c r="E313" s="99"/>
      <c r="F313" s="78"/>
      <c r="G313" s="80"/>
      <c r="H313" s="4"/>
      <c r="I313" s="76"/>
      <c r="J313" s="78"/>
      <c r="K313" s="78"/>
      <c r="L313" s="78"/>
      <c r="M313" s="78"/>
      <c r="N313" s="81"/>
      <c r="O313" s="78"/>
      <c r="P313" s="82"/>
      <c r="Q313" s="4"/>
      <c r="R313" s="78"/>
      <c r="S313" s="83"/>
      <c r="T313" s="4"/>
      <c r="U313" s="77"/>
    </row>
    <row r="314" spans="1:21" ht="18.75" customHeight="1" x14ac:dyDescent="0.2">
      <c r="A314" s="76"/>
      <c r="B314" s="77"/>
      <c r="C314" s="78"/>
      <c r="D314" s="79"/>
      <c r="E314" s="99"/>
      <c r="F314" s="78"/>
      <c r="G314" s="80"/>
      <c r="H314" s="4"/>
      <c r="I314" s="76"/>
      <c r="J314" s="78"/>
      <c r="K314" s="78"/>
      <c r="L314" s="78"/>
      <c r="M314" s="78"/>
      <c r="N314" s="81"/>
      <c r="O314" s="78"/>
      <c r="P314" s="82"/>
      <c r="Q314" s="4"/>
      <c r="R314" s="78"/>
      <c r="S314" s="83"/>
      <c r="T314" s="4"/>
      <c r="U314" s="77"/>
    </row>
    <row r="315" spans="1:21" ht="18.75" customHeight="1" x14ac:dyDescent="0.2">
      <c r="A315" s="76"/>
      <c r="B315" s="77"/>
      <c r="C315" s="78"/>
      <c r="D315" s="79"/>
      <c r="E315" s="99"/>
      <c r="F315" s="78"/>
      <c r="G315" s="80"/>
      <c r="H315" s="4"/>
      <c r="I315" s="76"/>
      <c r="J315" s="78"/>
      <c r="K315" s="78"/>
      <c r="L315" s="78"/>
      <c r="M315" s="78"/>
      <c r="N315" s="81"/>
      <c r="O315" s="78"/>
      <c r="P315" s="82"/>
      <c r="Q315" s="4"/>
      <c r="R315" s="78"/>
      <c r="S315" s="83"/>
      <c r="T315" s="4"/>
      <c r="U315" s="77"/>
    </row>
    <row r="316" spans="1:21" ht="18.75" customHeight="1" x14ac:dyDescent="0.2">
      <c r="A316" s="76"/>
      <c r="B316" s="77"/>
      <c r="C316" s="78"/>
      <c r="D316" s="79"/>
      <c r="E316" s="99"/>
      <c r="F316" s="78"/>
      <c r="G316" s="80"/>
      <c r="H316" s="4"/>
      <c r="I316" s="76"/>
      <c r="J316" s="78"/>
      <c r="K316" s="78"/>
      <c r="L316" s="78"/>
      <c r="M316" s="78"/>
      <c r="N316" s="81"/>
      <c r="O316" s="78"/>
      <c r="P316" s="82"/>
      <c r="Q316" s="4"/>
      <c r="R316" s="78"/>
      <c r="S316" s="83"/>
      <c r="T316" s="4"/>
      <c r="U316" s="77"/>
    </row>
    <row r="317" spans="1:21" ht="18.75" customHeight="1" x14ac:dyDescent="0.2">
      <c r="A317" s="76"/>
      <c r="B317" s="77"/>
      <c r="C317" s="78"/>
      <c r="D317" s="79"/>
      <c r="E317" s="99"/>
      <c r="F317" s="78"/>
      <c r="G317" s="80"/>
      <c r="H317" s="4"/>
      <c r="I317" s="76"/>
      <c r="J317" s="78"/>
      <c r="K317" s="78"/>
      <c r="L317" s="78"/>
      <c r="M317" s="78"/>
      <c r="N317" s="81"/>
      <c r="O317" s="78"/>
      <c r="P317" s="82"/>
      <c r="Q317" s="4"/>
      <c r="R317" s="78"/>
      <c r="S317" s="83"/>
      <c r="T317" s="4"/>
      <c r="U317" s="77"/>
    </row>
    <row r="318" spans="1:21" ht="18.75" customHeight="1" x14ac:dyDescent="0.2">
      <c r="A318" s="76"/>
      <c r="B318" s="77"/>
      <c r="C318" s="78"/>
      <c r="D318" s="79"/>
      <c r="E318" s="99"/>
      <c r="F318" s="78"/>
      <c r="G318" s="80"/>
      <c r="H318" s="4"/>
      <c r="I318" s="76"/>
      <c r="J318" s="78"/>
      <c r="K318" s="78"/>
      <c r="L318" s="78"/>
      <c r="M318" s="78"/>
      <c r="N318" s="81"/>
      <c r="O318" s="78"/>
      <c r="P318" s="82"/>
      <c r="Q318" s="4"/>
      <c r="R318" s="78"/>
      <c r="S318" s="83"/>
      <c r="T318" s="4"/>
      <c r="U318" s="77"/>
    </row>
    <row r="319" spans="1:21" ht="18.75" customHeight="1" x14ac:dyDescent="0.2">
      <c r="A319" s="76"/>
      <c r="B319" s="77"/>
      <c r="C319" s="78"/>
      <c r="D319" s="79"/>
      <c r="E319" s="99"/>
      <c r="F319" s="78"/>
      <c r="G319" s="80"/>
      <c r="H319" s="4"/>
      <c r="I319" s="76"/>
      <c r="J319" s="78"/>
      <c r="K319" s="78"/>
      <c r="L319" s="78"/>
      <c r="M319" s="78"/>
      <c r="N319" s="81"/>
      <c r="O319" s="78"/>
      <c r="P319" s="82"/>
      <c r="Q319" s="4"/>
      <c r="R319" s="78"/>
      <c r="S319" s="83"/>
      <c r="T319" s="4"/>
      <c r="U319" s="77"/>
    </row>
    <row r="320" spans="1:21" ht="18.75" customHeight="1" x14ac:dyDescent="0.2">
      <c r="A320" s="76"/>
      <c r="B320" s="77"/>
      <c r="C320" s="78"/>
      <c r="D320" s="79"/>
      <c r="E320" s="99"/>
      <c r="F320" s="78"/>
      <c r="G320" s="80"/>
      <c r="H320" s="4"/>
      <c r="I320" s="76"/>
      <c r="J320" s="78"/>
      <c r="K320" s="78"/>
      <c r="L320" s="78"/>
      <c r="M320" s="78"/>
      <c r="N320" s="81"/>
      <c r="O320" s="78"/>
      <c r="P320" s="82"/>
      <c r="Q320" s="4"/>
      <c r="R320" s="78"/>
      <c r="S320" s="83"/>
      <c r="T320" s="4"/>
      <c r="U320" s="77"/>
    </row>
    <row r="321" spans="1:21" ht="18.75" customHeight="1" x14ac:dyDescent="0.2">
      <c r="A321" s="76"/>
      <c r="B321" s="77"/>
      <c r="C321" s="78"/>
      <c r="D321" s="79"/>
      <c r="E321" s="99"/>
      <c r="F321" s="78"/>
      <c r="G321" s="80"/>
      <c r="H321" s="4"/>
      <c r="I321" s="76"/>
      <c r="J321" s="78"/>
      <c r="K321" s="78"/>
      <c r="L321" s="78"/>
      <c r="M321" s="78"/>
      <c r="N321" s="81"/>
      <c r="O321" s="78"/>
      <c r="P321" s="82"/>
      <c r="Q321" s="4"/>
      <c r="R321" s="78"/>
      <c r="S321" s="83"/>
      <c r="T321" s="4"/>
      <c r="U321" s="77"/>
    </row>
    <row r="322" spans="1:21" ht="18.75" customHeight="1" x14ac:dyDescent="0.2">
      <c r="A322" s="76"/>
      <c r="B322" s="77"/>
      <c r="C322" s="78"/>
      <c r="D322" s="79"/>
      <c r="E322" s="99"/>
      <c r="F322" s="78"/>
      <c r="G322" s="80"/>
      <c r="H322" s="4"/>
      <c r="I322" s="76"/>
      <c r="J322" s="78"/>
      <c r="K322" s="78"/>
      <c r="L322" s="78"/>
      <c r="M322" s="78"/>
      <c r="N322" s="81"/>
      <c r="O322" s="78"/>
      <c r="P322" s="82"/>
      <c r="Q322" s="4"/>
      <c r="R322" s="78"/>
      <c r="S322" s="83"/>
      <c r="T322" s="4"/>
      <c r="U322" s="77"/>
    </row>
    <row r="323" spans="1:21" ht="18.75" customHeight="1" x14ac:dyDescent="0.2">
      <c r="A323" s="76"/>
      <c r="B323" s="77"/>
      <c r="C323" s="78"/>
      <c r="D323" s="79"/>
      <c r="E323" s="99"/>
      <c r="F323" s="78"/>
      <c r="G323" s="80"/>
      <c r="H323" s="4"/>
      <c r="I323" s="76"/>
      <c r="J323" s="78"/>
      <c r="K323" s="78"/>
      <c r="L323" s="78"/>
      <c r="M323" s="78"/>
      <c r="N323" s="81"/>
      <c r="O323" s="78"/>
      <c r="P323" s="82"/>
      <c r="Q323" s="4"/>
      <c r="R323" s="78"/>
      <c r="S323" s="83"/>
      <c r="T323" s="4"/>
      <c r="U323" s="77"/>
    </row>
    <row r="324" spans="1:21" ht="18.75" customHeight="1" x14ac:dyDescent="0.2">
      <c r="A324" s="76"/>
      <c r="B324" s="77"/>
      <c r="C324" s="78"/>
      <c r="D324" s="79"/>
      <c r="E324" s="99"/>
      <c r="F324" s="78"/>
      <c r="G324" s="80"/>
      <c r="H324" s="4"/>
      <c r="I324" s="76"/>
      <c r="J324" s="78"/>
      <c r="K324" s="78"/>
      <c r="L324" s="78"/>
      <c r="M324" s="78"/>
      <c r="N324" s="81"/>
      <c r="O324" s="78"/>
      <c r="P324" s="82"/>
      <c r="Q324" s="4"/>
      <c r="R324" s="78"/>
      <c r="S324" s="83"/>
      <c r="T324" s="4"/>
      <c r="U324" s="77"/>
    </row>
    <row r="325" spans="1:21" ht="18.75" customHeight="1" x14ac:dyDescent="0.2">
      <c r="A325" s="76"/>
      <c r="B325" s="77"/>
      <c r="C325" s="78"/>
      <c r="D325" s="79"/>
      <c r="E325" s="99"/>
      <c r="F325" s="78"/>
      <c r="G325" s="80"/>
      <c r="H325" s="4"/>
      <c r="I325" s="76"/>
      <c r="J325" s="78"/>
      <c r="K325" s="78"/>
      <c r="L325" s="78"/>
      <c r="M325" s="78"/>
      <c r="N325" s="81"/>
      <c r="O325" s="78"/>
      <c r="P325" s="82"/>
      <c r="Q325" s="4"/>
      <c r="R325" s="78"/>
      <c r="S325" s="83"/>
      <c r="T325" s="4"/>
      <c r="U325" s="77"/>
    </row>
    <row r="326" spans="1:21" ht="18.75" customHeight="1" x14ac:dyDescent="0.2">
      <c r="A326" s="76"/>
      <c r="B326" s="77"/>
      <c r="C326" s="78"/>
      <c r="D326" s="79"/>
      <c r="E326" s="99"/>
      <c r="F326" s="78"/>
      <c r="G326" s="80"/>
      <c r="H326" s="4"/>
      <c r="I326" s="76"/>
      <c r="J326" s="78"/>
      <c r="K326" s="78"/>
      <c r="L326" s="78"/>
      <c r="M326" s="78"/>
      <c r="N326" s="81"/>
      <c r="O326" s="78"/>
      <c r="P326" s="82"/>
      <c r="Q326" s="4"/>
      <c r="R326" s="78"/>
      <c r="S326" s="83"/>
      <c r="T326" s="4"/>
      <c r="U326" s="77"/>
    </row>
    <row r="327" spans="1:21" ht="18.75" customHeight="1" x14ac:dyDescent="0.2">
      <c r="A327" s="76"/>
      <c r="B327" s="77"/>
      <c r="C327" s="78"/>
      <c r="D327" s="79"/>
      <c r="E327" s="99"/>
      <c r="F327" s="78"/>
      <c r="G327" s="80"/>
      <c r="H327" s="4"/>
      <c r="I327" s="76"/>
      <c r="J327" s="78"/>
      <c r="K327" s="78"/>
      <c r="L327" s="78"/>
      <c r="M327" s="78"/>
      <c r="N327" s="81"/>
      <c r="O327" s="78"/>
      <c r="P327" s="82"/>
      <c r="Q327" s="4"/>
      <c r="R327" s="78"/>
      <c r="S327" s="83"/>
      <c r="T327" s="4"/>
      <c r="U327" s="77"/>
    </row>
    <row r="328" spans="1:21" ht="18.75" customHeight="1" x14ac:dyDescent="0.2">
      <c r="A328" s="76"/>
      <c r="B328" s="77"/>
      <c r="C328" s="78"/>
      <c r="D328" s="79"/>
      <c r="E328" s="99"/>
      <c r="F328" s="78"/>
      <c r="G328" s="80"/>
      <c r="H328" s="4"/>
      <c r="I328" s="76"/>
      <c r="J328" s="78"/>
      <c r="K328" s="78"/>
      <c r="L328" s="78"/>
      <c r="M328" s="78"/>
      <c r="N328" s="81"/>
      <c r="O328" s="78"/>
      <c r="P328" s="82"/>
      <c r="Q328" s="4"/>
      <c r="R328" s="78"/>
      <c r="S328" s="83"/>
      <c r="T328" s="4"/>
      <c r="U328" s="77"/>
    </row>
    <row r="329" spans="1:21" ht="18.75" customHeight="1" x14ac:dyDescent="0.2">
      <c r="A329" s="76"/>
      <c r="B329" s="77"/>
      <c r="C329" s="78"/>
      <c r="D329" s="79"/>
      <c r="E329" s="99"/>
      <c r="F329" s="78"/>
      <c r="G329" s="80"/>
      <c r="H329" s="4"/>
      <c r="I329" s="76"/>
      <c r="J329" s="78"/>
      <c r="K329" s="78"/>
      <c r="L329" s="78"/>
      <c r="M329" s="78"/>
      <c r="N329" s="81"/>
      <c r="O329" s="78"/>
      <c r="P329" s="82"/>
      <c r="Q329" s="4"/>
      <c r="R329" s="78"/>
      <c r="S329" s="83"/>
      <c r="T329" s="4"/>
      <c r="U329" s="77"/>
    </row>
    <row r="330" spans="1:21" ht="18.75" customHeight="1" x14ac:dyDescent="0.2">
      <c r="A330" s="76"/>
      <c r="B330" s="77"/>
      <c r="C330" s="78"/>
      <c r="D330" s="79"/>
      <c r="E330" s="99"/>
      <c r="F330" s="78"/>
      <c r="G330" s="80"/>
      <c r="H330" s="4"/>
      <c r="I330" s="76"/>
      <c r="J330" s="78"/>
      <c r="K330" s="78"/>
      <c r="L330" s="78"/>
      <c r="M330" s="78"/>
      <c r="N330" s="81"/>
      <c r="O330" s="78"/>
      <c r="P330" s="82"/>
      <c r="Q330" s="4"/>
      <c r="R330" s="78"/>
      <c r="S330" s="83"/>
      <c r="T330" s="4"/>
      <c r="U330" s="77"/>
    </row>
    <row r="331" spans="1:21" ht="18.75" customHeight="1" x14ac:dyDescent="0.2">
      <c r="A331" s="76"/>
      <c r="B331" s="77"/>
      <c r="C331" s="78"/>
      <c r="D331" s="79"/>
      <c r="E331" s="99"/>
      <c r="F331" s="78"/>
      <c r="G331" s="80"/>
      <c r="H331" s="4"/>
      <c r="I331" s="76"/>
      <c r="J331" s="78"/>
      <c r="K331" s="78"/>
      <c r="L331" s="78"/>
      <c r="M331" s="78"/>
      <c r="N331" s="81"/>
      <c r="O331" s="78"/>
      <c r="P331" s="82"/>
      <c r="Q331" s="4"/>
      <c r="R331" s="78"/>
      <c r="S331" s="83"/>
      <c r="T331" s="4"/>
      <c r="U331" s="77"/>
    </row>
    <row r="332" spans="1:21" ht="18.75" customHeight="1" x14ac:dyDescent="0.2">
      <c r="A332" s="76"/>
      <c r="B332" s="77"/>
      <c r="C332" s="78"/>
      <c r="D332" s="79"/>
      <c r="E332" s="99"/>
      <c r="F332" s="78"/>
      <c r="G332" s="80"/>
      <c r="H332" s="4"/>
      <c r="I332" s="76"/>
      <c r="J332" s="78"/>
      <c r="K332" s="78"/>
      <c r="L332" s="78"/>
      <c r="M332" s="78"/>
      <c r="N332" s="81"/>
      <c r="O332" s="78"/>
      <c r="P332" s="82"/>
      <c r="Q332" s="4"/>
      <c r="R332" s="78"/>
      <c r="S332" s="83"/>
      <c r="T332" s="4"/>
      <c r="U332" s="77"/>
    </row>
    <row r="333" spans="1:21" ht="18.75" customHeight="1" x14ac:dyDescent="0.2">
      <c r="A333" s="76"/>
      <c r="B333" s="77"/>
      <c r="C333" s="78"/>
      <c r="D333" s="79"/>
      <c r="E333" s="99"/>
      <c r="F333" s="78"/>
      <c r="G333" s="80"/>
      <c r="H333" s="4"/>
      <c r="I333" s="76"/>
      <c r="J333" s="78"/>
      <c r="K333" s="78"/>
      <c r="L333" s="78"/>
      <c r="M333" s="78"/>
      <c r="N333" s="81"/>
      <c r="O333" s="78"/>
      <c r="P333" s="82"/>
      <c r="Q333" s="4"/>
      <c r="R333" s="78"/>
      <c r="S333" s="83"/>
      <c r="T333" s="4"/>
      <c r="U333" s="77"/>
    </row>
    <row r="334" spans="1:21" ht="18.75" customHeight="1" x14ac:dyDescent="0.2">
      <c r="A334" s="76"/>
      <c r="B334" s="77"/>
      <c r="C334" s="78"/>
      <c r="D334" s="79"/>
      <c r="E334" s="99"/>
      <c r="F334" s="78"/>
      <c r="G334" s="80"/>
      <c r="H334" s="4"/>
      <c r="I334" s="76"/>
      <c r="J334" s="78"/>
      <c r="K334" s="78"/>
      <c r="L334" s="78"/>
      <c r="M334" s="78"/>
      <c r="N334" s="81"/>
      <c r="O334" s="78"/>
      <c r="P334" s="82"/>
      <c r="Q334" s="4"/>
      <c r="R334" s="78"/>
      <c r="S334" s="83"/>
      <c r="T334" s="4"/>
      <c r="U334" s="77"/>
    </row>
    <row r="335" spans="1:21" ht="18.75" customHeight="1" x14ac:dyDescent="0.2">
      <c r="A335" s="76"/>
      <c r="B335" s="77"/>
      <c r="C335" s="78"/>
      <c r="D335" s="79"/>
      <c r="E335" s="99"/>
      <c r="F335" s="78"/>
      <c r="G335" s="80"/>
      <c r="H335" s="4"/>
      <c r="I335" s="76"/>
      <c r="J335" s="78"/>
      <c r="K335" s="78"/>
      <c r="L335" s="78"/>
      <c r="M335" s="78"/>
      <c r="N335" s="81"/>
      <c r="O335" s="78"/>
      <c r="P335" s="82"/>
      <c r="Q335" s="4"/>
      <c r="R335" s="78"/>
      <c r="S335" s="83"/>
      <c r="T335" s="4"/>
      <c r="U335" s="77"/>
    </row>
    <row r="336" spans="1:21" ht="18.75" customHeight="1" x14ac:dyDescent="0.2">
      <c r="A336" s="76"/>
      <c r="B336" s="77"/>
      <c r="C336" s="78"/>
      <c r="D336" s="79"/>
      <c r="E336" s="99"/>
      <c r="F336" s="78"/>
      <c r="G336" s="80"/>
      <c r="H336" s="4"/>
      <c r="I336" s="76"/>
      <c r="J336" s="78"/>
      <c r="K336" s="78"/>
      <c r="L336" s="78"/>
      <c r="M336" s="78"/>
      <c r="N336" s="81"/>
      <c r="O336" s="78"/>
      <c r="P336" s="82"/>
      <c r="Q336" s="4"/>
      <c r="R336" s="78"/>
      <c r="S336" s="83"/>
      <c r="T336" s="4"/>
      <c r="U336" s="77"/>
    </row>
    <row r="337" spans="1:21" ht="18.75" customHeight="1" x14ac:dyDescent="0.2">
      <c r="A337" s="76"/>
      <c r="B337" s="77"/>
      <c r="C337" s="78"/>
      <c r="D337" s="79"/>
      <c r="E337" s="99"/>
      <c r="F337" s="78"/>
      <c r="G337" s="80"/>
      <c r="H337" s="4"/>
      <c r="I337" s="76"/>
      <c r="J337" s="78"/>
      <c r="K337" s="78"/>
      <c r="L337" s="78"/>
      <c r="M337" s="78"/>
      <c r="N337" s="81"/>
      <c r="O337" s="78"/>
      <c r="P337" s="82"/>
      <c r="Q337" s="4"/>
      <c r="R337" s="78"/>
      <c r="S337" s="83"/>
      <c r="T337" s="4"/>
      <c r="U337" s="77"/>
    </row>
    <row r="338" spans="1:21" ht="18.75" customHeight="1" x14ac:dyDescent="0.2">
      <c r="A338" s="76"/>
      <c r="B338" s="77"/>
      <c r="C338" s="78"/>
      <c r="D338" s="79"/>
      <c r="E338" s="99"/>
      <c r="F338" s="78"/>
      <c r="G338" s="80"/>
      <c r="H338" s="4"/>
      <c r="I338" s="76"/>
      <c r="J338" s="78"/>
      <c r="K338" s="78"/>
      <c r="L338" s="78"/>
      <c r="M338" s="78"/>
      <c r="N338" s="81"/>
      <c r="O338" s="78"/>
      <c r="P338" s="82"/>
      <c r="Q338" s="4"/>
      <c r="R338" s="78"/>
      <c r="S338" s="83"/>
      <c r="T338" s="4"/>
      <c r="U338" s="77"/>
    </row>
    <row r="339" spans="1:21" ht="18.75" customHeight="1" x14ac:dyDescent="0.2">
      <c r="A339" s="76"/>
      <c r="B339" s="77"/>
      <c r="C339" s="78"/>
      <c r="D339" s="79"/>
      <c r="E339" s="99"/>
      <c r="F339" s="78"/>
      <c r="G339" s="80"/>
      <c r="H339" s="4"/>
      <c r="I339" s="76"/>
      <c r="J339" s="78"/>
      <c r="K339" s="78"/>
      <c r="L339" s="78"/>
      <c r="M339" s="78"/>
      <c r="N339" s="81"/>
      <c r="O339" s="78"/>
      <c r="P339" s="82"/>
      <c r="Q339" s="4"/>
      <c r="R339" s="78"/>
      <c r="S339" s="83"/>
      <c r="T339" s="4"/>
      <c r="U339" s="77"/>
    </row>
    <row r="340" spans="1:21" ht="18.75" customHeight="1" x14ac:dyDescent="0.2">
      <c r="A340" s="76"/>
      <c r="B340" s="77"/>
      <c r="C340" s="78"/>
      <c r="D340" s="79"/>
      <c r="E340" s="99"/>
      <c r="F340" s="78"/>
      <c r="G340" s="80"/>
      <c r="H340" s="4"/>
      <c r="I340" s="76"/>
      <c r="J340" s="78"/>
      <c r="K340" s="78"/>
      <c r="L340" s="78"/>
      <c r="M340" s="78"/>
      <c r="N340" s="81"/>
      <c r="O340" s="78"/>
      <c r="P340" s="82"/>
      <c r="Q340" s="4"/>
      <c r="R340" s="78"/>
      <c r="S340" s="83"/>
      <c r="T340" s="4"/>
      <c r="U340" s="77"/>
    </row>
    <row r="341" spans="1:21" ht="18.75" customHeight="1" x14ac:dyDescent="0.2">
      <c r="A341" s="76"/>
      <c r="B341" s="77"/>
      <c r="C341" s="78"/>
      <c r="D341" s="79"/>
      <c r="E341" s="99"/>
      <c r="F341" s="78"/>
      <c r="G341" s="80"/>
      <c r="H341" s="4"/>
      <c r="I341" s="76"/>
      <c r="J341" s="78"/>
      <c r="K341" s="78"/>
      <c r="L341" s="78"/>
      <c r="M341" s="78"/>
      <c r="N341" s="81"/>
      <c r="O341" s="78"/>
      <c r="P341" s="82"/>
      <c r="Q341" s="4"/>
      <c r="R341" s="78"/>
      <c r="S341" s="83"/>
      <c r="T341" s="4"/>
      <c r="U341" s="77"/>
    </row>
    <row r="342" spans="1:21" ht="18.75" customHeight="1" x14ac:dyDescent="0.2">
      <c r="A342" s="76"/>
      <c r="B342" s="77"/>
      <c r="C342" s="78"/>
      <c r="D342" s="79"/>
      <c r="E342" s="99"/>
      <c r="F342" s="78"/>
      <c r="G342" s="80"/>
      <c r="H342" s="4"/>
      <c r="I342" s="76"/>
      <c r="J342" s="78"/>
      <c r="K342" s="78"/>
      <c r="L342" s="78"/>
      <c r="M342" s="78"/>
      <c r="N342" s="81"/>
      <c r="O342" s="78"/>
      <c r="P342" s="82"/>
      <c r="Q342" s="4"/>
      <c r="R342" s="78"/>
      <c r="S342" s="83"/>
      <c r="T342" s="4"/>
      <c r="U342" s="77"/>
    </row>
    <row r="343" spans="1:21" ht="18.75" customHeight="1" x14ac:dyDescent="0.2">
      <c r="A343" s="76"/>
      <c r="B343" s="77"/>
      <c r="C343" s="78"/>
      <c r="D343" s="79"/>
      <c r="E343" s="99"/>
      <c r="F343" s="78"/>
      <c r="G343" s="80"/>
      <c r="H343" s="4"/>
      <c r="I343" s="76"/>
      <c r="J343" s="78"/>
      <c r="K343" s="78"/>
      <c r="L343" s="78"/>
      <c r="M343" s="78"/>
      <c r="N343" s="81"/>
      <c r="O343" s="78"/>
      <c r="P343" s="82"/>
      <c r="Q343" s="4"/>
      <c r="R343" s="78"/>
      <c r="S343" s="83"/>
      <c r="T343" s="4"/>
      <c r="U343" s="77"/>
    </row>
    <row r="344" spans="1:21" ht="18.75" customHeight="1" x14ac:dyDescent="0.2">
      <c r="A344" s="76"/>
      <c r="B344" s="77"/>
      <c r="C344" s="78"/>
      <c r="D344" s="79"/>
      <c r="E344" s="99"/>
      <c r="F344" s="78"/>
      <c r="G344" s="80"/>
      <c r="H344" s="4"/>
      <c r="I344" s="76"/>
      <c r="J344" s="78"/>
      <c r="K344" s="78"/>
      <c r="L344" s="78"/>
      <c r="M344" s="78"/>
      <c r="N344" s="81"/>
      <c r="O344" s="78"/>
      <c r="P344" s="82"/>
      <c r="Q344" s="4"/>
      <c r="R344" s="78"/>
      <c r="S344" s="83"/>
      <c r="T344" s="4"/>
      <c r="U344" s="77"/>
    </row>
    <row r="345" spans="1:21" ht="18.75" customHeight="1" x14ac:dyDescent="0.2">
      <c r="A345" s="76"/>
      <c r="B345" s="77"/>
      <c r="C345" s="78"/>
      <c r="D345" s="79"/>
      <c r="E345" s="99"/>
      <c r="F345" s="78"/>
      <c r="G345" s="80"/>
      <c r="H345" s="4"/>
      <c r="I345" s="76"/>
      <c r="J345" s="78"/>
      <c r="K345" s="78"/>
      <c r="L345" s="78"/>
      <c r="M345" s="78"/>
      <c r="N345" s="81"/>
      <c r="O345" s="78"/>
      <c r="P345" s="82"/>
      <c r="Q345" s="4"/>
      <c r="R345" s="78"/>
      <c r="S345" s="83"/>
      <c r="T345" s="4"/>
      <c r="U345" s="77"/>
    </row>
    <row r="346" spans="1:21" ht="18.75" customHeight="1" x14ac:dyDescent="0.2">
      <c r="A346" s="76"/>
      <c r="B346" s="77"/>
      <c r="C346" s="78"/>
      <c r="D346" s="79"/>
      <c r="E346" s="99"/>
      <c r="F346" s="78"/>
      <c r="G346" s="80"/>
      <c r="H346" s="4"/>
      <c r="I346" s="76"/>
      <c r="J346" s="78"/>
      <c r="K346" s="78"/>
      <c r="L346" s="78"/>
      <c r="M346" s="78"/>
      <c r="N346" s="81"/>
      <c r="O346" s="78"/>
      <c r="P346" s="82"/>
      <c r="Q346" s="4"/>
      <c r="R346" s="78"/>
      <c r="S346" s="83"/>
      <c r="T346" s="4"/>
      <c r="U346" s="77"/>
    </row>
    <row r="347" spans="1:21" ht="18.75" customHeight="1" x14ac:dyDescent="0.2">
      <c r="A347" s="76"/>
      <c r="B347" s="77"/>
      <c r="C347" s="78"/>
      <c r="D347" s="79"/>
      <c r="E347" s="99"/>
      <c r="F347" s="78"/>
      <c r="G347" s="80"/>
      <c r="H347" s="4"/>
      <c r="I347" s="76"/>
      <c r="J347" s="78"/>
      <c r="K347" s="78"/>
      <c r="L347" s="78"/>
      <c r="M347" s="78"/>
      <c r="N347" s="81"/>
      <c r="O347" s="78"/>
      <c r="P347" s="82"/>
      <c r="Q347" s="4"/>
      <c r="R347" s="78"/>
      <c r="S347" s="83"/>
      <c r="T347" s="4"/>
      <c r="U347" s="77"/>
    </row>
    <row r="348" spans="1:21" ht="18.75" customHeight="1" x14ac:dyDescent="0.2">
      <c r="A348" s="76"/>
      <c r="B348" s="77"/>
      <c r="C348" s="78"/>
      <c r="D348" s="79"/>
      <c r="E348" s="99"/>
      <c r="F348" s="78"/>
      <c r="G348" s="80"/>
      <c r="H348" s="4"/>
      <c r="I348" s="76"/>
      <c r="J348" s="78"/>
      <c r="K348" s="78"/>
      <c r="L348" s="78"/>
      <c r="M348" s="78"/>
      <c r="N348" s="81"/>
      <c r="O348" s="78"/>
      <c r="P348" s="82"/>
      <c r="Q348" s="4"/>
      <c r="R348" s="78"/>
      <c r="S348" s="83"/>
      <c r="T348" s="4"/>
      <c r="U348" s="77"/>
    </row>
    <row r="349" spans="1:21" ht="18.75" customHeight="1" x14ac:dyDescent="0.2">
      <c r="A349" s="76"/>
      <c r="B349" s="77"/>
      <c r="C349" s="78"/>
      <c r="D349" s="79"/>
      <c r="E349" s="99"/>
      <c r="F349" s="78"/>
      <c r="G349" s="80"/>
      <c r="H349" s="4"/>
      <c r="I349" s="76"/>
      <c r="J349" s="78"/>
      <c r="K349" s="78"/>
      <c r="L349" s="78"/>
      <c r="M349" s="78"/>
      <c r="N349" s="81"/>
      <c r="O349" s="78"/>
      <c r="P349" s="82"/>
      <c r="Q349" s="4"/>
      <c r="R349" s="78"/>
      <c r="S349" s="83"/>
      <c r="T349" s="4"/>
      <c r="U349" s="77"/>
    </row>
    <row r="350" spans="1:21" ht="18.75" customHeight="1" x14ac:dyDescent="0.2">
      <c r="A350" s="76"/>
      <c r="B350" s="77"/>
      <c r="C350" s="78"/>
      <c r="D350" s="79"/>
      <c r="E350" s="99"/>
      <c r="F350" s="78"/>
      <c r="G350" s="80"/>
      <c r="H350" s="4"/>
      <c r="I350" s="76"/>
      <c r="J350" s="78"/>
      <c r="K350" s="78"/>
      <c r="L350" s="78"/>
      <c r="M350" s="78"/>
      <c r="N350" s="81"/>
      <c r="O350" s="78"/>
      <c r="P350" s="82"/>
      <c r="Q350" s="4"/>
      <c r="R350" s="78"/>
      <c r="S350" s="83"/>
      <c r="T350" s="4"/>
      <c r="U350" s="77"/>
    </row>
    <row r="351" spans="1:21" ht="18.75" customHeight="1" x14ac:dyDescent="0.2">
      <c r="A351" s="76"/>
      <c r="B351" s="77"/>
      <c r="C351" s="78"/>
      <c r="D351" s="79"/>
      <c r="E351" s="99"/>
      <c r="F351" s="78"/>
      <c r="G351" s="80"/>
      <c r="H351" s="4"/>
      <c r="I351" s="76"/>
      <c r="J351" s="78"/>
      <c r="K351" s="78"/>
      <c r="L351" s="78"/>
      <c r="M351" s="78"/>
      <c r="N351" s="81"/>
      <c r="O351" s="78"/>
      <c r="P351" s="82"/>
      <c r="Q351" s="4"/>
      <c r="R351" s="78"/>
      <c r="S351" s="83"/>
      <c r="T351" s="4"/>
      <c r="U351" s="77"/>
    </row>
    <row r="352" spans="1:21" ht="18.75" customHeight="1" x14ac:dyDescent="0.2">
      <c r="A352" s="76"/>
      <c r="B352" s="77"/>
      <c r="C352" s="78"/>
      <c r="D352" s="79"/>
      <c r="E352" s="99"/>
      <c r="F352" s="78"/>
      <c r="G352" s="80"/>
      <c r="H352" s="4"/>
      <c r="I352" s="76"/>
      <c r="J352" s="78"/>
      <c r="K352" s="78"/>
      <c r="L352" s="78"/>
      <c r="M352" s="78"/>
      <c r="N352" s="81"/>
      <c r="O352" s="78"/>
      <c r="P352" s="82"/>
      <c r="Q352" s="4"/>
      <c r="R352" s="78"/>
      <c r="S352" s="83"/>
      <c r="T352" s="4"/>
      <c r="U352" s="77"/>
    </row>
    <row r="353" spans="1:21" ht="18.75" customHeight="1" x14ac:dyDescent="0.2">
      <c r="A353" s="76"/>
      <c r="B353" s="77"/>
      <c r="C353" s="78"/>
      <c r="D353" s="79"/>
      <c r="E353" s="99"/>
      <c r="F353" s="78"/>
      <c r="G353" s="80"/>
      <c r="H353" s="4"/>
      <c r="I353" s="76"/>
      <c r="J353" s="78"/>
      <c r="K353" s="78"/>
      <c r="L353" s="78"/>
      <c r="M353" s="78"/>
      <c r="N353" s="81"/>
      <c r="O353" s="78"/>
      <c r="P353" s="82"/>
      <c r="Q353" s="4"/>
      <c r="R353" s="78"/>
      <c r="S353" s="83"/>
      <c r="T353" s="4"/>
      <c r="U353" s="77"/>
    </row>
    <row r="354" spans="1:21" ht="18.75" customHeight="1" x14ac:dyDescent="0.2">
      <c r="A354" s="76"/>
      <c r="B354" s="77"/>
      <c r="C354" s="78"/>
      <c r="D354" s="79"/>
      <c r="E354" s="99"/>
      <c r="F354" s="78"/>
      <c r="G354" s="80"/>
      <c r="H354" s="4"/>
      <c r="I354" s="76"/>
      <c r="J354" s="78"/>
      <c r="K354" s="78"/>
      <c r="L354" s="78"/>
      <c r="M354" s="78"/>
      <c r="N354" s="81"/>
      <c r="O354" s="78"/>
      <c r="P354" s="82"/>
      <c r="Q354" s="4"/>
      <c r="R354" s="78"/>
      <c r="S354" s="83"/>
      <c r="T354" s="4"/>
      <c r="U354" s="77"/>
    </row>
    <row r="355" spans="1:21" ht="18.75" customHeight="1" x14ac:dyDescent="0.2">
      <c r="A355" s="76"/>
      <c r="B355" s="77"/>
      <c r="C355" s="78"/>
      <c r="D355" s="79"/>
      <c r="E355" s="99"/>
      <c r="F355" s="78"/>
      <c r="G355" s="80"/>
      <c r="H355" s="4"/>
      <c r="I355" s="76"/>
      <c r="J355" s="78"/>
      <c r="K355" s="78"/>
      <c r="L355" s="78"/>
      <c r="M355" s="78"/>
      <c r="N355" s="81"/>
      <c r="O355" s="78"/>
      <c r="P355" s="82"/>
      <c r="Q355" s="4"/>
      <c r="R355" s="78"/>
      <c r="S355" s="83"/>
      <c r="T355" s="4"/>
      <c r="U355" s="77"/>
    </row>
    <row r="356" spans="1:21" ht="18.75" customHeight="1" x14ac:dyDescent="0.2">
      <c r="A356" s="76"/>
      <c r="B356" s="77"/>
      <c r="C356" s="78"/>
      <c r="D356" s="79"/>
      <c r="E356" s="99"/>
      <c r="F356" s="78"/>
      <c r="G356" s="80"/>
      <c r="H356" s="4"/>
      <c r="I356" s="76"/>
      <c r="J356" s="78"/>
      <c r="K356" s="78"/>
      <c r="L356" s="78"/>
      <c r="M356" s="78"/>
      <c r="N356" s="81"/>
      <c r="O356" s="78"/>
      <c r="P356" s="82"/>
      <c r="Q356" s="4"/>
      <c r="R356" s="78"/>
      <c r="S356" s="83"/>
      <c r="T356" s="4"/>
      <c r="U356" s="77"/>
    </row>
    <row r="357" spans="1:21" ht="18.75" customHeight="1" x14ac:dyDescent="0.2">
      <c r="A357" s="76"/>
      <c r="B357" s="77"/>
      <c r="C357" s="78"/>
      <c r="D357" s="79"/>
      <c r="E357" s="99"/>
      <c r="F357" s="78"/>
      <c r="G357" s="80"/>
      <c r="H357" s="4"/>
      <c r="I357" s="76"/>
      <c r="J357" s="78"/>
      <c r="K357" s="78"/>
      <c r="L357" s="78"/>
      <c r="M357" s="78"/>
      <c r="N357" s="81"/>
      <c r="O357" s="78"/>
      <c r="P357" s="82"/>
      <c r="Q357" s="4"/>
      <c r="R357" s="78"/>
      <c r="S357" s="83"/>
      <c r="T357" s="4"/>
      <c r="U357" s="77"/>
    </row>
    <row r="358" spans="1:21" ht="18.75" customHeight="1" x14ac:dyDescent="0.2">
      <c r="A358" s="76"/>
      <c r="B358" s="77"/>
      <c r="C358" s="78"/>
      <c r="D358" s="79"/>
      <c r="E358" s="99"/>
      <c r="F358" s="78"/>
      <c r="G358" s="80"/>
      <c r="H358" s="4"/>
      <c r="I358" s="76"/>
      <c r="J358" s="78"/>
      <c r="K358" s="78"/>
      <c r="L358" s="78"/>
      <c r="M358" s="78"/>
      <c r="N358" s="81"/>
      <c r="O358" s="78"/>
      <c r="P358" s="82"/>
      <c r="Q358" s="4"/>
      <c r="R358" s="78"/>
      <c r="S358" s="83"/>
      <c r="T358" s="4"/>
      <c r="U358" s="77"/>
    </row>
    <row r="359" spans="1:21" ht="18.75" customHeight="1" x14ac:dyDescent="0.2">
      <c r="A359" s="76"/>
      <c r="B359" s="77"/>
      <c r="C359" s="78"/>
      <c r="D359" s="79"/>
      <c r="E359" s="99"/>
      <c r="F359" s="78"/>
      <c r="G359" s="80"/>
      <c r="H359" s="4"/>
      <c r="I359" s="76"/>
      <c r="J359" s="78"/>
      <c r="K359" s="78"/>
      <c r="L359" s="78"/>
      <c r="M359" s="78"/>
      <c r="N359" s="81"/>
      <c r="O359" s="78"/>
      <c r="P359" s="82"/>
      <c r="Q359" s="4"/>
      <c r="R359" s="78"/>
      <c r="S359" s="83"/>
      <c r="T359" s="4"/>
      <c r="U359" s="77"/>
    </row>
    <row r="360" spans="1:21" ht="18.75" customHeight="1" x14ac:dyDescent="0.2">
      <c r="A360" s="76"/>
      <c r="B360" s="77"/>
      <c r="C360" s="78"/>
      <c r="D360" s="79"/>
      <c r="E360" s="99"/>
      <c r="F360" s="78"/>
      <c r="G360" s="80"/>
      <c r="H360" s="4"/>
      <c r="I360" s="76"/>
      <c r="J360" s="78"/>
      <c r="K360" s="78"/>
      <c r="L360" s="78"/>
      <c r="M360" s="78"/>
      <c r="N360" s="81"/>
      <c r="O360" s="78"/>
      <c r="P360" s="82"/>
      <c r="Q360" s="4"/>
      <c r="R360" s="78"/>
      <c r="S360" s="83"/>
      <c r="T360" s="4"/>
      <c r="U360" s="77"/>
    </row>
    <row r="361" spans="1:21" ht="18.75" customHeight="1" x14ac:dyDescent="0.2">
      <c r="A361" s="76"/>
      <c r="B361" s="77"/>
      <c r="C361" s="78"/>
      <c r="D361" s="79"/>
      <c r="E361" s="99"/>
      <c r="F361" s="78"/>
      <c r="G361" s="80"/>
      <c r="H361" s="4"/>
      <c r="I361" s="76"/>
      <c r="J361" s="78"/>
      <c r="K361" s="78"/>
      <c r="L361" s="78"/>
      <c r="M361" s="78"/>
      <c r="N361" s="81"/>
      <c r="O361" s="78"/>
      <c r="P361" s="82"/>
      <c r="Q361" s="4"/>
      <c r="R361" s="78"/>
      <c r="S361" s="83"/>
      <c r="T361" s="4"/>
      <c r="U361" s="77"/>
    </row>
    <row r="362" spans="1:21" ht="18.75" customHeight="1" x14ac:dyDescent="0.2">
      <c r="A362" s="76"/>
      <c r="B362" s="77"/>
      <c r="C362" s="78"/>
      <c r="D362" s="79"/>
      <c r="E362" s="99"/>
      <c r="F362" s="78"/>
      <c r="G362" s="80"/>
      <c r="H362" s="4"/>
      <c r="I362" s="76"/>
      <c r="J362" s="78"/>
      <c r="K362" s="78"/>
      <c r="L362" s="78"/>
      <c r="M362" s="78"/>
      <c r="N362" s="81"/>
      <c r="O362" s="78"/>
      <c r="P362" s="82"/>
      <c r="Q362" s="4"/>
      <c r="R362" s="78"/>
      <c r="S362" s="83"/>
      <c r="T362" s="4"/>
      <c r="U362" s="77"/>
    </row>
    <row r="363" spans="1:21" ht="18.75" customHeight="1" x14ac:dyDescent="0.2">
      <c r="A363" s="76"/>
      <c r="B363" s="77"/>
      <c r="C363" s="78"/>
      <c r="D363" s="79"/>
      <c r="E363" s="99"/>
      <c r="F363" s="78"/>
      <c r="G363" s="80"/>
      <c r="H363" s="4"/>
      <c r="I363" s="76"/>
      <c r="J363" s="78"/>
      <c r="K363" s="78"/>
      <c r="L363" s="78"/>
      <c r="M363" s="78"/>
      <c r="N363" s="81"/>
      <c r="O363" s="78"/>
      <c r="P363" s="82"/>
      <c r="Q363" s="4"/>
      <c r="R363" s="78"/>
      <c r="S363" s="83"/>
      <c r="T363" s="4"/>
      <c r="U363" s="77"/>
    </row>
    <row r="364" spans="1:21" ht="18.75" customHeight="1" x14ac:dyDescent="0.2">
      <c r="A364" s="76"/>
      <c r="B364" s="77"/>
      <c r="C364" s="78"/>
      <c r="D364" s="79"/>
      <c r="E364" s="99"/>
      <c r="F364" s="78"/>
      <c r="G364" s="80"/>
      <c r="H364" s="4"/>
      <c r="I364" s="76"/>
      <c r="J364" s="78"/>
      <c r="K364" s="78"/>
      <c r="L364" s="78"/>
      <c r="M364" s="78"/>
      <c r="N364" s="81"/>
      <c r="O364" s="78"/>
      <c r="P364" s="82"/>
      <c r="Q364" s="4"/>
      <c r="R364" s="78"/>
      <c r="S364" s="83"/>
      <c r="T364" s="4"/>
      <c r="U364" s="77"/>
    </row>
    <row r="365" spans="1:21" ht="18.75" customHeight="1" x14ac:dyDescent="0.2">
      <c r="A365" s="76"/>
      <c r="B365" s="77"/>
      <c r="C365" s="78"/>
      <c r="D365" s="79"/>
      <c r="E365" s="99"/>
      <c r="F365" s="78"/>
      <c r="G365" s="80"/>
      <c r="H365" s="4"/>
      <c r="I365" s="76"/>
      <c r="J365" s="78"/>
      <c r="K365" s="78"/>
      <c r="L365" s="78"/>
      <c r="M365" s="78"/>
      <c r="N365" s="81"/>
      <c r="O365" s="78"/>
      <c r="P365" s="82"/>
      <c r="Q365" s="4"/>
      <c r="R365" s="78"/>
      <c r="S365" s="83"/>
      <c r="T365" s="4"/>
      <c r="U365" s="77"/>
    </row>
    <row r="366" spans="1:21" ht="18.75" customHeight="1" x14ac:dyDescent="0.2">
      <c r="A366" s="76"/>
      <c r="B366" s="77"/>
      <c r="C366" s="78"/>
      <c r="D366" s="79"/>
      <c r="E366" s="99"/>
      <c r="F366" s="78"/>
      <c r="G366" s="80"/>
      <c r="H366" s="4"/>
      <c r="I366" s="76"/>
      <c r="J366" s="78"/>
      <c r="K366" s="78"/>
      <c r="L366" s="78"/>
      <c r="M366" s="78"/>
      <c r="N366" s="81"/>
      <c r="O366" s="78"/>
      <c r="P366" s="82"/>
      <c r="Q366" s="4"/>
      <c r="R366" s="78"/>
      <c r="S366" s="83"/>
      <c r="T366" s="4"/>
      <c r="U366" s="77"/>
    </row>
    <row r="367" spans="1:21" ht="18.75" customHeight="1" x14ac:dyDescent="0.2">
      <c r="A367" s="76"/>
      <c r="B367" s="77"/>
      <c r="C367" s="78"/>
      <c r="D367" s="79"/>
      <c r="E367" s="99"/>
      <c r="F367" s="78"/>
      <c r="G367" s="80"/>
      <c r="H367" s="4"/>
      <c r="I367" s="76"/>
      <c r="J367" s="78"/>
      <c r="K367" s="78"/>
      <c r="L367" s="78"/>
      <c r="M367" s="78"/>
      <c r="N367" s="81"/>
      <c r="O367" s="78"/>
      <c r="P367" s="82"/>
      <c r="Q367" s="4"/>
      <c r="R367" s="78"/>
      <c r="S367" s="83"/>
      <c r="T367" s="4"/>
      <c r="U367" s="77"/>
    </row>
    <row r="368" spans="1:21" ht="18.75" customHeight="1" x14ac:dyDescent="0.2">
      <c r="A368" s="76"/>
      <c r="B368" s="77"/>
      <c r="C368" s="78"/>
      <c r="D368" s="79"/>
      <c r="E368" s="99"/>
      <c r="F368" s="78"/>
      <c r="G368" s="80"/>
      <c r="H368" s="4"/>
      <c r="I368" s="76"/>
      <c r="J368" s="78"/>
      <c r="K368" s="78"/>
      <c r="L368" s="78"/>
      <c r="M368" s="78"/>
      <c r="N368" s="81"/>
      <c r="O368" s="78"/>
      <c r="P368" s="82"/>
      <c r="Q368" s="4"/>
      <c r="R368" s="78"/>
      <c r="S368" s="83"/>
      <c r="T368" s="4"/>
      <c r="U368" s="77"/>
    </row>
    <row r="369" spans="1:21" ht="18.75" customHeight="1" x14ac:dyDescent="0.2">
      <c r="A369" s="76"/>
      <c r="B369" s="77"/>
      <c r="C369" s="78"/>
      <c r="D369" s="79"/>
      <c r="E369" s="99"/>
      <c r="F369" s="78"/>
      <c r="G369" s="80"/>
      <c r="H369" s="4"/>
      <c r="I369" s="76"/>
      <c r="J369" s="78"/>
      <c r="K369" s="78"/>
      <c r="L369" s="78"/>
      <c r="M369" s="78"/>
      <c r="N369" s="81"/>
      <c r="O369" s="78"/>
      <c r="P369" s="82"/>
      <c r="Q369" s="4"/>
      <c r="R369" s="78"/>
      <c r="S369" s="83"/>
      <c r="T369" s="4"/>
      <c r="U369" s="77"/>
    </row>
    <row r="370" spans="1:21" ht="18.75" customHeight="1" x14ac:dyDescent="0.2">
      <c r="A370" s="76"/>
      <c r="B370" s="77"/>
      <c r="C370" s="78"/>
      <c r="D370" s="79"/>
      <c r="E370" s="99"/>
      <c r="F370" s="78"/>
      <c r="G370" s="80"/>
      <c r="H370" s="4"/>
      <c r="I370" s="76"/>
      <c r="J370" s="78"/>
      <c r="K370" s="78"/>
      <c r="L370" s="78"/>
      <c r="M370" s="78"/>
      <c r="N370" s="81"/>
      <c r="O370" s="78"/>
      <c r="P370" s="82"/>
      <c r="Q370" s="4"/>
      <c r="R370" s="78"/>
      <c r="S370" s="83"/>
      <c r="T370" s="4"/>
      <c r="U370" s="77"/>
    </row>
    <row r="371" spans="1:21" ht="18.75" customHeight="1" x14ac:dyDescent="0.2">
      <c r="A371" s="76"/>
      <c r="B371" s="77"/>
      <c r="C371" s="78"/>
      <c r="D371" s="79"/>
      <c r="E371" s="99"/>
      <c r="F371" s="78"/>
      <c r="G371" s="80"/>
      <c r="H371" s="4"/>
      <c r="I371" s="76"/>
      <c r="J371" s="78"/>
      <c r="K371" s="78"/>
      <c r="L371" s="78"/>
      <c r="M371" s="78"/>
      <c r="N371" s="81"/>
      <c r="O371" s="78"/>
      <c r="P371" s="82"/>
      <c r="Q371" s="4"/>
      <c r="R371" s="78"/>
      <c r="S371" s="83"/>
      <c r="T371" s="4"/>
      <c r="U371" s="77"/>
    </row>
    <row r="372" spans="1:21" ht="18.75" customHeight="1" x14ac:dyDescent="0.2">
      <c r="A372" s="76"/>
      <c r="B372" s="77"/>
      <c r="C372" s="78"/>
      <c r="D372" s="79"/>
      <c r="E372" s="99"/>
      <c r="F372" s="78"/>
      <c r="G372" s="80"/>
      <c r="H372" s="4"/>
      <c r="I372" s="76"/>
      <c r="J372" s="78"/>
      <c r="K372" s="78"/>
      <c r="L372" s="78"/>
      <c r="M372" s="78"/>
      <c r="N372" s="81"/>
      <c r="O372" s="78"/>
      <c r="P372" s="82"/>
      <c r="Q372" s="4"/>
      <c r="R372" s="78"/>
      <c r="S372" s="83"/>
      <c r="T372" s="4"/>
      <c r="U372" s="77"/>
    </row>
    <row r="373" spans="1:21" ht="18.75" customHeight="1" x14ac:dyDescent="0.2">
      <c r="A373" s="76"/>
      <c r="B373" s="77"/>
      <c r="C373" s="78"/>
      <c r="D373" s="79"/>
      <c r="E373" s="99"/>
      <c r="F373" s="78"/>
      <c r="G373" s="80"/>
      <c r="H373" s="4"/>
      <c r="I373" s="76"/>
      <c r="J373" s="78"/>
      <c r="K373" s="78"/>
      <c r="L373" s="78"/>
      <c r="M373" s="78"/>
      <c r="N373" s="81"/>
      <c r="O373" s="78"/>
      <c r="P373" s="82"/>
      <c r="Q373" s="4"/>
      <c r="R373" s="78"/>
      <c r="S373" s="83"/>
      <c r="T373" s="4"/>
      <c r="U373" s="77"/>
    </row>
    <row r="374" spans="1:21" ht="18.75" customHeight="1" x14ac:dyDescent="0.2">
      <c r="A374" s="76"/>
      <c r="B374" s="77"/>
      <c r="C374" s="78"/>
      <c r="D374" s="79"/>
      <c r="E374" s="99"/>
      <c r="F374" s="78"/>
      <c r="G374" s="80"/>
      <c r="H374" s="4"/>
      <c r="I374" s="76"/>
      <c r="J374" s="78"/>
      <c r="K374" s="78"/>
      <c r="L374" s="78"/>
      <c r="M374" s="78"/>
      <c r="N374" s="81"/>
      <c r="O374" s="78"/>
      <c r="P374" s="82"/>
      <c r="Q374" s="4"/>
      <c r="R374" s="78"/>
      <c r="S374" s="83"/>
      <c r="T374" s="4"/>
      <c r="U374" s="77"/>
    </row>
    <row r="375" spans="1:21" ht="18.75" customHeight="1" x14ac:dyDescent="0.2">
      <c r="A375" s="76"/>
      <c r="B375" s="77"/>
      <c r="C375" s="78"/>
      <c r="D375" s="79"/>
      <c r="E375" s="99"/>
      <c r="F375" s="78"/>
      <c r="G375" s="80"/>
      <c r="H375" s="4"/>
      <c r="I375" s="76"/>
      <c r="J375" s="78"/>
      <c r="K375" s="78"/>
      <c r="L375" s="78"/>
      <c r="M375" s="78"/>
      <c r="N375" s="81"/>
      <c r="O375" s="78"/>
      <c r="P375" s="82"/>
      <c r="Q375" s="4"/>
      <c r="R375" s="78"/>
      <c r="S375" s="83"/>
      <c r="T375" s="4"/>
      <c r="U375" s="77"/>
    </row>
    <row r="376" spans="1:21" ht="18.75" customHeight="1" x14ac:dyDescent="0.2">
      <c r="A376" s="76"/>
      <c r="B376" s="77"/>
      <c r="C376" s="78"/>
      <c r="D376" s="79"/>
      <c r="E376" s="99"/>
      <c r="F376" s="78"/>
      <c r="G376" s="80"/>
      <c r="H376" s="4"/>
      <c r="I376" s="76"/>
      <c r="J376" s="78"/>
      <c r="K376" s="78"/>
      <c r="L376" s="78"/>
      <c r="M376" s="78"/>
      <c r="N376" s="81"/>
      <c r="O376" s="78"/>
      <c r="P376" s="82"/>
      <c r="Q376" s="4"/>
      <c r="R376" s="78"/>
      <c r="S376" s="83"/>
      <c r="T376" s="4"/>
      <c r="U376" s="77"/>
    </row>
    <row r="377" spans="1:21" ht="18.75" customHeight="1" x14ac:dyDescent="0.2">
      <c r="A377" s="76"/>
      <c r="B377" s="77"/>
      <c r="C377" s="78"/>
      <c r="D377" s="79"/>
      <c r="E377" s="99"/>
      <c r="F377" s="78"/>
      <c r="G377" s="80"/>
      <c r="H377" s="4"/>
      <c r="I377" s="76"/>
      <c r="J377" s="78"/>
      <c r="K377" s="78"/>
      <c r="L377" s="78"/>
      <c r="M377" s="78"/>
      <c r="N377" s="81"/>
      <c r="O377" s="78"/>
      <c r="P377" s="82"/>
      <c r="Q377" s="4"/>
      <c r="R377" s="78"/>
      <c r="S377" s="83"/>
      <c r="T377" s="4"/>
      <c r="U377" s="77"/>
    </row>
    <row r="378" spans="1:21" ht="18.75" customHeight="1" x14ac:dyDescent="0.2">
      <c r="A378" s="76"/>
      <c r="B378" s="77"/>
      <c r="C378" s="78"/>
      <c r="D378" s="79"/>
      <c r="E378" s="99"/>
      <c r="F378" s="78"/>
      <c r="G378" s="80"/>
      <c r="H378" s="4"/>
      <c r="I378" s="76"/>
      <c r="J378" s="78"/>
      <c r="K378" s="78"/>
      <c r="L378" s="78"/>
      <c r="M378" s="78"/>
      <c r="N378" s="81"/>
      <c r="O378" s="78"/>
      <c r="P378" s="82"/>
      <c r="Q378" s="4"/>
      <c r="R378" s="78"/>
      <c r="S378" s="83"/>
      <c r="T378" s="4"/>
      <c r="U378" s="77"/>
    </row>
    <row r="379" spans="1:21" ht="18.75" customHeight="1" x14ac:dyDescent="0.2">
      <c r="A379" s="76"/>
      <c r="B379" s="77"/>
      <c r="C379" s="78"/>
      <c r="D379" s="79"/>
      <c r="E379" s="99"/>
      <c r="F379" s="78"/>
      <c r="G379" s="80"/>
      <c r="H379" s="4"/>
      <c r="I379" s="76"/>
      <c r="J379" s="78"/>
      <c r="K379" s="78"/>
      <c r="L379" s="78"/>
      <c r="M379" s="78"/>
      <c r="N379" s="81"/>
      <c r="O379" s="78"/>
      <c r="P379" s="82"/>
      <c r="Q379" s="4"/>
      <c r="R379" s="78"/>
      <c r="S379" s="83"/>
      <c r="T379" s="4"/>
      <c r="U379" s="77"/>
    </row>
    <row r="380" spans="1:21" ht="18.75" customHeight="1" x14ac:dyDescent="0.2">
      <c r="A380" s="76"/>
      <c r="B380" s="77"/>
      <c r="C380" s="78"/>
      <c r="D380" s="79"/>
      <c r="E380" s="99"/>
      <c r="F380" s="78"/>
      <c r="G380" s="80"/>
      <c r="H380" s="4"/>
      <c r="I380" s="76"/>
      <c r="J380" s="78"/>
      <c r="K380" s="78"/>
      <c r="L380" s="78"/>
      <c r="M380" s="78"/>
      <c r="N380" s="81"/>
      <c r="O380" s="78"/>
      <c r="P380" s="82"/>
      <c r="Q380" s="4"/>
      <c r="R380" s="78"/>
      <c r="S380" s="83"/>
      <c r="T380" s="4"/>
      <c r="U380" s="77"/>
    </row>
    <row r="381" spans="1:21" ht="18.75" customHeight="1" x14ac:dyDescent="0.2">
      <c r="A381" s="76"/>
      <c r="B381" s="77"/>
      <c r="C381" s="78"/>
      <c r="D381" s="79"/>
      <c r="E381" s="99"/>
      <c r="F381" s="78"/>
      <c r="G381" s="80"/>
      <c r="H381" s="4"/>
      <c r="I381" s="76"/>
      <c r="J381" s="78"/>
      <c r="K381" s="78"/>
      <c r="L381" s="78"/>
      <c r="M381" s="78"/>
      <c r="N381" s="81"/>
      <c r="O381" s="78"/>
      <c r="P381" s="82"/>
      <c r="Q381" s="4"/>
      <c r="R381" s="78"/>
      <c r="S381" s="83"/>
      <c r="T381" s="4"/>
      <c r="U381" s="77"/>
    </row>
    <row r="382" spans="1:21" ht="18.75" customHeight="1" x14ac:dyDescent="0.2">
      <c r="A382" s="76"/>
      <c r="B382" s="77"/>
      <c r="C382" s="78"/>
      <c r="D382" s="79"/>
      <c r="E382" s="99"/>
      <c r="F382" s="78"/>
      <c r="G382" s="80"/>
      <c r="H382" s="4"/>
      <c r="I382" s="76"/>
      <c r="J382" s="78"/>
      <c r="K382" s="78"/>
      <c r="L382" s="78"/>
      <c r="M382" s="78"/>
      <c r="N382" s="81"/>
      <c r="O382" s="78"/>
      <c r="P382" s="82"/>
      <c r="Q382" s="4"/>
      <c r="R382" s="78"/>
      <c r="S382" s="83"/>
      <c r="T382" s="4"/>
      <c r="U382" s="77"/>
    </row>
    <row r="383" spans="1:21" ht="18.75" customHeight="1" x14ac:dyDescent="0.2">
      <c r="A383" s="76"/>
      <c r="B383" s="77"/>
      <c r="C383" s="78"/>
      <c r="D383" s="79"/>
      <c r="E383" s="99"/>
      <c r="F383" s="78"/>
      <c r="G383" s="80"/>
      <c r="H383" s="4"/>
      <c r="I383" s="76"/>
      <c r="J383" s="78"/>
      <c r="K383" s="78"/>
      <c r="L383" s="78"/>
      <c r="M383" s="78"/>
      <c r="N383" s="81"/>
      <c r="O383" s="78"/>
      <c r="P383" s="82"/>
      <c r="Q383" s="4"/>
      <c r="R383" s="78"/>
      <c r="S383" s="83"/>
      <c r="T383" s="4"/>
      <c r="U383" s="77"/>
    </row>
    <row r="384" spans="1:21" ht="18.75" customHeight="1" x14ac:dyDescent="0.2">
      <c r="A384" s="76"/>
      <c r="B384" s="77"/>
      <c r="C384" s="78"/>
      <c r="D384" s="79"/>
      <c r="E384" s="99"/>
      <c r="F384" s="78"/>
      <c r="G384" s="80"/>
      <c r="H384" s="4"/>
      <c r="I384" s="76"/>
      <c r="J384" s="78"/>
      <c r="K384" s="78"/>
      <c r="L384" s="78"/>
      <c r="M384" s="78"/>
      <c r="N384" s="81"/>
      <c r="O384" s="78"/>
      <c r="P384" s="82"/>
      <c r="Q384" s="4"/>
      <c r="R384" s="78"/>
      <c r="S384" s="83"/>
      <c r="T384" s="4"/>
      <c r="U384" s="77"/>
    </row>
    <row r="385" spans="1:21" ht="18.75" customHeight="1" x14ac:dyDescent="0.2">
      <c r="A385" s="76"/>
      <c r="B385" s="77"/>
      <c r="C385" s="78"/>
      <c r="D385" s="79"/>
      <c r="E385" s="99"/>
      <c r="F385" s="78"/>
      <c r="G385" s="80"/>
      <c r="H385" s="4"/>
      <c r="I385" s="76"/>
      <c r="J385" s="78"/>
      <c r="K385" s="78"/>
      <c r="L385" s="78"/>
      <c r="M385" s="78"/>
      <c r="N385" s="81"/>
      <c r="O385" s="78"/>
      <c r="P385" s="82"/>
      <c r="Q385" s="4"/>
      <c r="R385" s="78"/>
      <c r="S385" s="83"/>
      <c r="T385" s="4"/>
      <c r="U385" s="77"/>
    </row>
    <row r="386" spans="1:21" ht="18.75" customHeight="1" x14ac:dyDescent="0.2">
      <c r="A386" s="76"/>
      <c r="B386" s="77"/>
      <c r="C386" s="78"/>
      <c r="D386" s="79"/>
      <c r="E386" s="99"/>
      <c r="F386" s="78"/>
      <c r="G386" s="80"/>
      <c r="H386" s="4"/>
      <c r="I386" s="76"/>
      <c r="J386" s="78"/>
      <c r="K386" s="78"/>
      <c r="L386" s="78"/>
      <c r="M386" s="78"/>
      <c r="N386" s="81"/>
      <c r="O386" s="78"/>
      <c r="P386" s="82"/>
      <c r="Q386" s="4"/>
      <c r="R386" s="78"/>
      <c r="S386" s="83"/>
      <c r="T386" s="4"/>
      <c r="U386" s="77"/>
    </row>
    <row r="387" spans="1:21" ht="18.75" customHeight="1" x14ac:dyDescent="0.2">
      <c r="A387" s="76"/>
      <c r="B387" s="77"/>
      <c r="C387" s="78"/>
      <c r="D387" s="79"/>
      <c r="E387" s="99"/>
      <c r="F387" s="78"/>
      <c r="G387" s="80"/>
      <c r="H387" s="4"/>
      <c r="I387" s="76"/>
      <c r="J387" s="78"/>
      <c r="K387" s="78"/>
      <c r="L387" s="78"/>
      <c r="M387" s="78"/>
      <c r="N387" s="81"/>
      <c r="O387" s="78"/>
      <c r="P387" s="82"/>
      <c r="Q387" s="4"/>
      <c r="R387" s="78"/>
      <c r="S387" s="83"/>
      <c r="T387" s="4"/>
      <c r="U387" s="77"/>
    </row>
    <row r="388" spans="1:21" ht="18.75" customHeight="1" x14ac:dyDescent="0.2">
      <c r="A388" s="76"/>
      <c r="B388" s="77"/>
      <c r="C388" s="78"/>
      <c r="D388" s="79"/>
      <c r="E388" s="99"/>
      <c r="F388" s="78"/>
      <c r="G388" s="80"/>
      <c r="H388" s="4"/>
      <c r="I388" s="76"/>
      <c r="J388" s="78"/>
      <c r="K388" s="78"/>
      <c r="L388" s="78"/>
      <c r="M388" s="78"/>
      <c r="N388" s="81"/>
      <c r="O388" s="78"/>
      <c r="P388" s="82"/>
      <c r="Q388" s="4"/>
      <c r="R388" s="78"/>
      <c r="S388" s="83"/>
      <c r="T388" s="4"/>
      <c r="U388" s="77"/>
    </row>
    <row r="389" spans="1:21" ht="18.75" customHeight="1" x14ac:dyDescent="0.2">
      <c r="A389" s="76"/>
      <c r="B389" s="77"/>
      <c r="C389" s="78"/>
      <c r="D389" s="79"/>
      <c r="E389" s="99"/>
      <c r="F389" s="78"/>
      <c r="G389" s="80"/>
      <c r="H389" s="4"/>
      <c r="I389" s="76"/>
      <c r="J389" s="78"/>
      <c r="K389" s="78"/>
      <c r="L389" s="78"/>
      <c r="M389" s="78"/>
      <c r="N389" s="81"/>
      <c r="O389" s="78"/>
      <c r="P389" s="82"/>
      <c r="Q389" s="4"/>
      <c r="R389" s="78"/>
      <c r="S389" s="83"/>
      <c r="T389" s="4"/>
      <c r="U389" s="77"/>
    </row>
    <row r="390" spans="1:21" ht="18.75" customHeight="1" x14ac:dyDescent="0.2">
      <c r="A390" s="76"/>
      <c r="B390" s="77"/>
      <c r="C390" s="78"/>
      <c r="D390" s="79"/>
      <c r="E390" s="99"/>
      <c r="F390" s="78"/>
      <c r="G390" s="80"/>
      <c r="H390" s="4"/>
      <c r="I390" s="76"/>
      <c r="J390" s="78"/>
      <c r="K390" s="78"/>
      <c r="L390" s="78"/>
      <c r="M390" s="78"/>
      <c r="N390" s="81"/>
      <c r="O390" s="78"/>
      <c r="P390" s="82"/>
      <c r="Q390" s="4"/>
      <c r="R390" s="78"/>
      <c r="S390" s="83"/>
      <c r="T390" s="4"/>
      <c r="U390" s="77"/>
    </row>
    <row r="391" spans="1:21" ht="18.75" customHeight="1" x14ac:dyDescent="0.2">
      <c r="A391" s="76"/>
      <c r="B391" s="77"/>
      <c r="C391" s="78"/>
      <c r="D391" s="79"/>
      <c r="E391" s="99"/>
      <c r="F391" s="78"/>
      <c r="G391" s="80"/>
      <c r="H391" s="4"/>
      <c r="I391" s="76"/>
      <c r="J391" s="78"/>
      <c r="K391" s="78"/>
      <c r="L391" s="78"/>
      <c r="M391" s="78"/>
      <c r="N391" s="81"/>
      <c r="O391" s="78"/>
      <c r="P391" s="82"/>
      <c r="Q391" s="4"/>
      <c r="R391" s="78"/>
      <c r="S391" s="83"/>
      <c r="T391" s="4"/>
      <c r="U391" s="77"/>
    </row>
    <row r="392" spans="1:21" ht="18.75" customHeight="1" x14ac:dyDescent="0.2">
      <c r="A392" s="76"/>
      <c r="B392" s="77"/>
      <c r="C392" s="78"/>
      <c r="D392" s="79"/>
      <c r="E392" s="99"/>
      <c r="F392" s="78"/>
      <c r="G392" s="80"/>
      <c r="H392" s="4"/>
      <c r="I392" s="76"/>
      <c r="J392" s="78"/>
      <c r="K392" s="78"/>
      <c r="L392" s="78"/>
      <c r="M392" s="78"/>
      <c r="N392" s="81"/>
      <c r="O392" s="78"/>
      <c r="P392" s="82"/>
      <c r="Q392" s="4"/>
      <c r="R392" s="78"/>
      <c r="S392" s="83"/>
      <c r="T392" s="4"/>
      <c r="U392" s="77"/>
    </row>
    <row r="393" spans="1:21" ht="18.75" customHeight="1" x14ac:dyDescent="0.2">
      <c r="A393" s="76"/>
      <c r="B393" s="77"/>
      <c r="C393" s="78"/>
      <c r="D393" s="79"/>
      <c r="E393" s="99"/>
      <c r="F393" s="78"/>
      <c r="G393" s="80"/>
      <c r="H393" s="4"/>
      <c r="I393" s="76"/>
      <c r="J393" s="78"/>
      <c r="K393" s="78"/>
      <c r="L393" s="78"/>
      <c r="M393" s="78"/>
      <c r="N393" s="81"/>
      <c r="O393" s="78"/>
      <c r="P393" s="82"/>
      <c r="Q393" s="4"/>
      <c r="R393" s="78"/>
      <c r="S393" s="83"/>
      <c r="T393" s="4"/>
      <c r="U393" s="77"/>
    </row>
    <row r="394" spans="1:21" ht="18.75" customHeight="1" x14ac:dyDescent="0.2">
      <c r="A394" s="76"/>
      <c r="B394" s="77"/>
      <c r="C394" s="78"/>
      <c r="D394" s="79"/>
      <c r="E394" s="99"/>
      <c r="F394" s="78"/>
      <c r="G394" s="80"/>
      <c r="H394" s="4"/>
      <c r="I394" s="76"/>
      <c r="J394" s="78"/>
      <c r="K394" s="78"/>
      <c r="L394" s="78"/>
      <c r="M394" s="78"/>
      <c r="N394" s="81"/>
      <c r="O394" s="78"/>
      <c r="P394" s="82"/>
      <c r="Q394" s="4"/>
      <c r="R394" s="78"/>
      <c r="S394" s="83"/>
      <c r="T394" s="4"/>
      <c r="U394" s="77"/>
    </row>
    <row r="395" spans="1:21" ht="18.75" customHeight="1" x14ac:dyDescent="0.2">
      <c r="A395" s="76"/>
      <c r="B395" s="77"/>
      <c r="C395" s="78"/>
      <c r="D395" s="79"/>
      <c r="E395" s="99"/>
      <c r="F395" s="78"/>
      <c r="G395" s="80"/>
      <c r="H395" s="4"/>
      <c r="I395" s="76"/>
      <c r="J395" s="78"/>
      <c r="K395" s="78"/>
      <c r="L395" s="78"/>
      <c r="M395" s="78"/>
      <c r="N395" s="81"/>
      <c r="O395" s="78"/>
      <c r="P395" s="82"/>
      <c r="Q395" s="4"/>
      <c r="R395" s="78"/>
      <c r="S395" s="83"/>
      <c r="T395" s="4"/>
      <c r="U395" s="77"/>
    </row>
    <row r="396" spans="1:21" ht="18.75" customHeight="1" x14ac:dyDescent="0.2">
      <c r="A396" s="76"/>
      <c r="B396" s="77"/>
      <c r="C396" s="78"/>
      <c r="D396" s="79"/>
      <c r="E396" s="99"/>
      <c r="F396" s="78"/>
      <c r="G396" s="80"/>
      <c r="H396" s="4"/>
      <c r="I396" s="76"/>
      <c r="J396" s="78"/>
      <c r="K396" s="78"/>
      <c r="L396" s="78"/>
      <c r="M396" s="78"/>
      <c r="N396" s="81"/>
      <c r="O396" s="78"/>
      <c r="P396" s="82"/>
      <c r="Q396" s="4"/>
      <c r="R396" s="78"/>
      <c r="S396" s="83"/>
      <c r="T396" s="4"/>
      <c r="U396" s="77"/>
    </row>
    <row r="397" spans="1:21" ht="18.75" customHeight="1" x14ac:dyDescent="0.2">
      <c r="A397" s="76"/>
      <c r="B397" s="77"/>
      <c r="C397" s="78"/>
      <c r="D397" s="79"/>
      <c r="E397" s="99"/>
      <c r="F397" s="78"/>
      <c r="G397" s="80"/>
      <c r="H397" s="4"/>
      <c r="I397" s="76"/>
      <c r="J397" s="78"/>
      <c r="K397" s="78"/>
      <c r="L397" s="78"/>
      <c r="M397" s="78"/>
      <c r="N397" s="81"/>
      <c r="O397" s="78"/>
      <c r="P397" s="82"/>
      <c r="Q397" s="4"/>
      <c r="R397" s="78"/>
      <c r="S397" s="83"/>
      <c r="T397" s="4"/>
      <c r="U397" s="77"/>
    </row>
    <row r="398" spans="1:21" ht="18.75" customHeight="1" x14ac:dyDescent="0.2">
      <c r="A398" s="76"/>
      <c r="B398" s="77"/>
      <c r="C398" s="78"/>
      <c r="D398" s="79"/>
      <c r="E398" s="99"/>
      <c r="F398" s="78"/>
      <c r="G398" s="80"/>
      <c r="H398" s="4"/>
      <c r="I398" s="76"/>
      <c r="J398" s="78"/>
      <c r="K398" s="78"/>
      <c r="L398" s="78"/>
      <c r="M398" s="78"/>
      <c r="N398" s="81"/>
      <c r="O398" s="78"/>
      <c r="P398" s="82"/>
      <c r="Q398" s="4"/>
      <c r="R398" s="78"/>
      <c r="S398" s="83"/>
      <c r="T398" s="4"/>
      <c r="U398" s="77"/>
    </row>
    <row r="399" spans="1:21" ht="18.75" customHeight="1" x14ac:dyDescent="0.2">
      <c r="A399" s="76"/>
      <c r="B399" s="77"/>
      <c r="C399" s="78"/>
      <c r="D399" s="79"/>
      <c r="E399" s="99"/>
      <c r="F399" s="78"/>
      <c r="G399" s="80"/>
      <c r="H399" s="4"/>
      <c r="I399" s="76"/>
      <c r="J399" s="78"/>
      <c r="K399" s="78"/>
      <c r="L399" s="78"/>
      <c r="M399" s="78"/>
      <c r="N399" s="81"/>
      <c r="O399" s="78"/>
      <c r="P399" s="82"/>
      <c r="Q399" s="4"/>
      <c r="R399" s="78"/>
      <c r="S399" s="83"/>
      <c r="T399" s="4"/>
      <c r="U399" s="77"/>
    </row>
    <row r="400" spans="1:21" ht="18.75" customHeight="1" x14ac:dyDescent="0.2">
      <c r="A400" s="76"/>
      <c r="B400" s="77"/>
      <c r="C400" s="78"/>
      <c r="D400" s="79"/>
      <c r="E400" s="99"/>
      <c r="F400" s="78"/>
      <c r="G400" s="80"/>
      <c r="H400" s="4"/>
      <c r="I400" s="76"/>
      <c r="J400" s="78"/>
      <c r="K400" s="78"/>
      <c r="L400" s="78"/>
      <c r="M400" s="78"/>
      <c r="N400" s="81"/>
      <c r="O400" s="78"/>
      <c r="P400" s="82"/>
      <c r="Q400" s="4"/>
      <c r="R400" s="78"/>
      <c r="S400" s="83"/>
      <c r="T400" s="4"/>
      <c r="U400" s="77"/>
    </row>
    <row r="401" spans="1:21" ht="18.75" customHeight="1" x14ac:dyDescent="0.2">
      <c r="A401" s="76"/>
      <c r="B401" s="77"/>
      <c r="C401" s="78"/>
      <c r="D401" s="79"/>
      <c r="E401" s="99"/>
      <c r="F401" s="78"/>
      <c r="G401" s="80"/>
      <c r="H401" s="4"/>
      <c r="I401" s="76"/>
      <c r="J401" s="78"/>
      <c r="K401" s="78"/>
      <c r="L401" s="78"/>
      <c r="M401" s="78"/>
      <c r="N401" s="81"/>
      <c r="O401" s="78"/>
      <c r="P401" s="82"/>
      <c r="Q401" s="4"/>
      <c r="R401" s="78"/>
      <c r="S401" s="83"/>
      <c r="T401" s="4"/>
      <c r="U401" s="77"/>
    </row>
    <row r="402" spans="1:21" ht="18.75" customHeight="1" x14ac:dyDescent="0.2">
      <c r="A402" s="76"/>
      <c r="B402" s="77"/>
      <c r="C402" s="78"/>
      <c r="D402" s="79"/>
      <c r="E402" s="99"/>
      <c r="F402" s="78"/>
      <c r="G402" s="80"/>
      <c r="H402" s="4"/>
      <c r="I402" s="76"/>
      <c r="J402" s="78"/>
      <c r="K402" s="78"/>
      <c r="L402" s="78"/>
      <c r="M402" s="78"/>
      <c r="N402" s="81"/>
      <c r="O402" s="78"/>
      <c r="P402" s="82"/>
      <c r="Q402" s="4"/>
      <c r="R402" s="78"/>
      <c r="S402" s="83"/>
      <c r="T402" s="4"/>
      <c r="U402" s="77"/>
    </row>
    <row r="403" spans="1:21" ht="18.75" customHeight="1" x14ac:dyDescent="0.2">
      <c r="A403" s="76"/>
      <c r="B403" s="77"/>
      <c r="C403" s="78"/>
      <c r="D403" s="79"/>
      <c r="E403" s="99"/>
      <c r="F403" s="78"/>
      <c r="G403" s="80"/>
      <c r="H403" s="4"/>
      <c r="I403" s="76"/>
      <c r="J403" s="78"/>
      <c r="K403" s="78"/>
      <c r="L403" s="78"/>
      <c r="M403" s="78"/>
      <c r="N403" s="81"/>
      <c r="O403" s="78"/>
      <c r="P403" s="82"/>
      <c r="Q403" s="4"/>
      <c r="R403" s="78"/>
      <c r="S403" s="83"/>
      <c r="T403" s="4"/>
      <c r="U403" s="77"/>
    </row>
    <row r="404" spans="1:21" ht="18.75" customHeight="1" x14ac:dyDescent="0.2">
      <c r="A404" s="76"/>
      <c r="B404" s="77"/>
      <c r="C404" s="78"/>
      <c r="D404" s="79"/>
      <c r="E404" s="99"/>
      <c r="F404" s="78"/>
      <c r="G404" s="80"/>
      <c r="H404" s="4"/>
      <c r="I404" s="76"/>
      <c r="J404" s="78"/>
      <c r="K404" s="78"/>
      <c r="L404" s="78"/>
      <c r="M404" s="78"/>
      <c r="N404" s="81"/>
      <c r="O404" s="78"/>
      <c r="P404" s="82"/>
      <c r="Q404" s="4"/>
      <c r="R404" s="78"/>
      <c r="S404" s="83"/>
      <c r="T404" s="4"/>
      <c r="U404" s="77"/>
    </row>
    <row r="405" spans="1:21" ht="18.75" customHeight="1" x14ac:dyDescent="0.2">
      <c r="A405" s="76"/>
      <c r="B405" s="77"/>
      <c r="C405" s="78"/>
      <c r="D405" s="79"/>
      <c r="E405" s="99"/>
      <c r="F405" s="78"/>
      <c r="G405" s="80"/>
      <c r="H405" s="4"/>
      <c r="I405" s="76"/>
      <c r="J405" s="78"/>
      <c r="K405" s="78"/>
      <c r="L405" s="78"/>
      <c r="M405" s="78"/>
      <c r="N405" s="81"/>
      <c r="O405" s="78"/>
      <c r="P405" s="82"/>
      <c r="Q405" s="4"/>
      <c r="R405" s="78"/>
      <c r="S405" s="83"/>
      <c r="T405" s="4"/>
      <c r="U405" s="77"/>
    </row>
    <row r="406" spans="1:21" ht="18.75" customHeight="1" x14ac:dyDescent="0.2">
      <c r="A406" s="76"/>
      <c r="B406" s="77"/>
      <c r="C406" s="78"/>
      <c r="D406" s="79"/>
      <c r="E406" s="99"/>
      <c r="F406" s="78"/>
      <c r="G406" s="80"/>
      <c r="H406" s="4"/>
      <c r="I406" s="76"/>
      <c r="J406" s="78"/>
      <c r="K406" s="78"/>
      <c r="L406" s="78"/>
      <c r="M406" s="78"/>
      <c r="N406" s="81"/>
      <c r="O406" s="78"/>
      <c r="P406" s="82"/>
      <c r="Q406" s="4"/>
      <c r="R406" s="78"/>
      <c r="S406" s="83"/>
      <c r="T406" s="4"/>
      <c r="U406" s="77"/>
    </row>
    <row r="407" spans="1:21" ht="18.75" customHeight="1" x14ac:dyDescent="0.2">
      <c r="A407" s="76"/>
      <c r="B407" s="77"/>
      <c r="C407" s="78"/>
      <c r="D407" s="79"/>
      <c r="E407" s="99"/>
      <c r="F407" s="78"/>
      <c r="G407" s="80"/>
      <c r="H407" s="4"/>
      <c r="I407" s="76"/>
      <c r="J407" s="78"/>
      <c r="K407" s="78"/>
      <c r="L407" s="78"/>
      <c r="M407" s="78"/>
      <c r="N407" s="81"/>
      <c r="O407" s="78"/>
      <c r="P407" s="82"/>
      <c r="Q407" s="4"/>
      <c r="R407" s="78"/>
      <c r="S407" s="83"/>
      <c r="T407" s="4"/>
      <c r="U407" s="77"/>
    </row>
    <row r="408" spans="1:21" ht="18.75" customHeight="1" x14ac:dyDescent="0.2">
      <c r="A408" s="76"/>
      <c r="B408" s="77"/>
      <c r="C408" s="78"/>
      <c r="D408" s="79"/>
      <c r="E408" s="99"/>
      <c r="F408" s="78"/>
      <c r="G408" s="80"/>
      <c r="H408" s="4"/>
      <c r="I408" s="76"/>
      <c r="J408" s="78"/>
      <c r="K408" s="78"/>
      <c r="L408" s="78"/>
      <c r="M408" s="78"/>
      <c r="N408" s="81"/>
      <c r="O408" s="78"/>
      <c r="P408" s="82"/>
      <c r="Q408" s="4"/>
      <c r="R408" s="78"/>
      <c r="S408" s="83"/>
      <c r="T408" s="4"/>
      <c r="U408" s="77"/>
    </row>
    <row r="409" spans="1:21" ht="18.75" customHeight="1" x14ac:dyDescent="0.2">
      <c r="A409" s="76"/>
      <c r="B409" s="77"/>
      <c r="C409" s="78"/>
      <c r="D409" s="79"/>
      <c r="E409" s="99"/>
      <c r="F409" s="78"/>
      <c r="G409" s="80"/>
      <c r="H409" s="4"/>
      <c r="I409" s="76"/>
      <c r="J409" s="78"/>
      <c r="K409" s="78"/>
      <c r="L409" s="78"/>
      <c r="M409" s="78"/>
      <c r="N409" s="81"/>
      <c r="O409" s="78"/>
      <c r="P409" s="82"/>
      <c r="Q409" s="4"/>
      <c r="R409" s="78"/>
      <c r="S409" s="83"/>
      <c r="T409" s="4"/>
      <c r="U409" s="77"/>
    </row>
    <row r="410" spans="1:21" ht="18.75" customHeight="1" x14ac:dyDescent="0.2">
      <c r="A410" s="76"/>
      <c r="B410" s="77"/>
      <c r="C410" s="78"/>
      <c r="D410" s="79"/>
      <c r="E410" s="99"/>
      <c r="F410" s="78"/>
      <c r="G410" s="80"/>
      <c r="H410" s="4"/>
      <c r="I410" s="76"/>
      <c r="J410" s="78"/>
      <c r="K410" s="78"/>
      <c r="L410" s="78"/>
      <c r="M410" s="78"/>
      <c r="N410" s="81"/>
      <c r="O410" s="78"/>
      <c r="P410" s="82"/>
      <c r="Q410" s="4"/>
      <c r="R410" s="78"/>
      <c r="S410" s="83"/>
      <c r="T410" s="4"/>
      <c r="U410" s="77"/>
    </row>
    <row r="411" spans="1:21" ht="18.75" customHeight="1" x14ac:dyDescent="0.2">
      <c r="A411" s="76"/>
      <c r="B411" s="77"/>
      <c r="C411" s="78"/>
      <c r="D411" s="79"/>
      <c r="E411" s="99"/>
      <c r="F411" s="78"/>
      <c r="G411" s="80"/>
      <c r="H411" s="4"/>
      <c r="I411" s="76"/>
      <c r="J411" s="78"/>
      <c r="K411" s="78"/>
      <c r="L411" s="78"/>
      <c r="M411" s="78"/>
      <c r="N411" s="81"/>
      <c r="O411" s="78"/>
      <c r="P411" s="82"/>
      <c r="Q411" s="4"/>
      <c r="R411" s="78"/>
      <c r="S411" s="83"/>
      <c r="T411" s="4"/>
      <c r="U411" s="77"/>
    </row>
    <row r="412" spans="1:21" ht="18.75" customHeight="1" x14ac:dyDescent="0.2">
      <c r="A412" s="76"/>
      <c r="B412" s="77"/>
      <c r="C412" s="78"/>
      <c r="D412" s="79"/>
      <c r="E412" s="99"/>
      <c r="F412" s="78"/>
      <c r="G412" s="80"/>
      <c r="H412" s="4"/>
      <c r="I412" s="76"/>
      <c r="J412" s="78"/>
      <c r="K412" s="78"/>
      <c r="L412" s="78"/>
      <c r="M412" s="78"/>
      <c r="N412" s="81"/>
      <c r="O412" s="78"/>
      <c r="P412" s="82"/>
      <c r="Q412" s="4"/>
      <c r="R412" s="78"/>
      <c r="S412" s="83"/>
      <c r="T412" s="4"/>
      <c r="U412" s="77"/>
    </row>
    <row r="413" spans="1:21" ht="18.75" customHeight="1" x14ac:dyDescent="0.2">
      <c r="A413" s="76"/>
      <c r="B413" s="77"/>
      <c r="C413" s="78"/>
      <c r="D413" s="79"/>
      <c r="E413" s="99"/>
      <c r="F413" s="78"/>
      <c r="G413" s="80"/>
      <c r="H413" s="4"/>
      <c r="I413" s="76"/>
      <c r="J413" s="78"/>
      <c r="K413" s="78"/>
      <c r="L413" s="78"/>
      <c r="M413" s="78"/>
      <c r="N413" s="81"/>
      <c r="O413" s="78"/>
      <c r="P413" s="82"/>
      <c r="Q413" s="4"/>
      <c r="R413" s="78"/>
      <c r="S413" s="83"/>
      <c r="T413" s="4"/>
      <c r="U413" s="77"/>
    </row>
    <row r="414" spans="1:21" ht="18.75" customHeight="1" x14ac:dyDescent="0.2">
      <c r="A414" s="76"/>
      <c r="B414" s="77"/>
      <c r="C414" s="78"/>
      <c r="D414" s="79"/>
      <c r="E414" s="99"/>
      <c r="F414" s="78"/>
      <c r="G414" s="80"/>
      <c r="H414" s="4"/>
      <c r="I414" s="76"/>
      <c r="J414" s="78"/>
      <c r="K414" s="78"/>
      <c r="L414" s="78"/>
      <c r="M414" s="78"/>
      <c r="N414" s="81"/>
      <c r="O414" s="78"/>
      <c r="P414" s="82"/>
      <c r="Q414" s="4"/>
      <c r="R414" s="78"/>
      <c r="S414" s="83"/>
      <c r="T414" s="4"/>
      <c r="U414" s="77"/>
    </row>
    <row r="415" spans="1:21" ht="18.75" customHeight="1" x14ac:dyDescent="0.2">
      <c r="A415" s="76"/>
      <c r="B415" s="77"/>
      <c r="C415" s="78"/>
      <c r="D415" s="79"/>
      <c r="E415" s="99"/>
      <c r="F415" s="78"/>
      <c r="G415" s="80"/>
      <c r="H415" s="4"/>
      <c r="I415" s="76"/>
      <c r="J415" s="78"/>
      <c r="K415" s="78"/>
      <c r="L415" s="78"/>
      <c r="M415" s="78"/>
      <c r="N415" s="81"/>
      <c r="O415" s="78"/>
      <c r="P415" s="82"/>
      <c r="Q415" s="4"/>
      <c r="R415" s="78"/>
      <c r="S415" s="83"/>
      <c r="T415" s="4"/>
      <c r="U415" s="77"/>
    </row>
    <row r="416" spans="1:21" ht="18.75" customHeight="1" x14ac:dyDescent="0.2">
      <c r="A416" s="76"/>
      <c r="B416" s="77"/>
      <c r="C416" s="78"/>
      <c r="D416" s="79"/>
      <c r="E416" s="99"/>
      <c r="F416" s="78"/>
      <c r="G416" s="80"/>
      <c r="H416" s="4"/>
      <c r="I416" s="76"/>
      <c r="J416" s="78"/>
      <c r="K416" s="78"/>
      <c r="L416" s="78"/>
      <c r="M416" s="78"/>
      <c r="N416" s="81"/>
      <c r="O416" s="78"/>
      <c r="P416" s="82"/>
      <c r="Q416" s="4"/>
      <c r="R416" s="78"/>
      <c r="S416" s="83"/>
      <c r="T416" s="4"/>
      <c r="U416" s="77"/>
    </row>
    <row r="417" spans="1:21" ht="18.75" customHeight="1" x14ac:dyDescent="0.2">
      <c r="A417" s="76"/>
      <c r="B417" s="77"/>
      <c r="C417" s="78"/>
      <c r="D417" s="79"/>
      <c r="E417" s="99"/>
      <c r="F417" s="78"/>
      <c r="G417" s="80"/>
      <c r="H417" s="4"/>
      <c r="I417" s="76"/>
      <c r="J417" s="78"/>
      <c r="K417" s="78"/>
      <c r="L417" s="78"/>
      <c r="M417" s="78"/>
      <c r="N417" s="81"/>
      <c r="O417" s="78"/>
      <c r="P417" s="82"/>
      <c r="Q417" s="4"/>
      <c r="R417" s="78"/>
      <c r="S417" s="83"/>
      <c r="T417" s="4"/>
      <c r="U417" s="77"/>
    </row>
    <row r="418" spans="1:21" ht="18.75" customHeight="1" x14ac:dyDescent="0.2">
      <c r="A418" s="76"/>
      <c r="B418" s="77"/>
      <c r="C418" s="78"/>
      <c r="D418" s="79"/>
      <c r="E418" s="99"/>
      <c r="F418" s="78"/>
      <c r="G418" s="80"/>
      <c r="H418" s="4"/>
      <c r="I418" s="76"/>
      <c r="J418" s="78"/>
      <c r="K418" s="78"/>
      <c r="L418" s="78"/>
      <c r="M418" s="78"/>
      <c r="N418" s="81"/>
      <c r="O418" s="78"/>
      <c r="P418" s="82"/>
      <c r="Q418" s="4"/>
      <c r="R418" s="78"/>
      <c r="S418" s="83"/>
      <c r="T418" s="4"/>
      <c r="U418" s="77"/>
    </row>
    <row r="419" spans="1:21" ht="18.75" customHeight="1" x14ac:dyDescent="0.2">
      <c r="A419" s="76"/>
      <c r="B419" s="77"/>
      <c r="C419" s="78"/>
      <c r="D419" s="79"/>
      <c r="E419" s="99"/>
      <c r="F419" s="78"/>
      <c r="G419" s="80"/>
      <c r="H419" s="4"/>
      <c r="I419" s="76"/>
      <c r="J419" s="78"/>
      <c r="K419" s="78"/>
      <c r="L419" s="78"/>
      <c r="M419" s="78"/>
      <c r="N419" s="81"/>
      <c r="O419" s="78"/>
      <c r="P419" s="82"/>
      <c r="Q419" s="4"/>
      <c r="R419" s="78"/>
      <c r="S419" s="83"/>
      <c r="T419" s="4"/>
      <c r="U419" s="77"/>
    </row>
    <row r="420" spans="1:21" ht="18.75" customHeight="1" x14ac:dyDescent="0.2">
      <c r="A420" s="76"/>
      <c r="B420" s="77"/>
      <c r="C420" s="78"/>
      <c r="D420" s="79"/>
      <c r="E420" s="99"/>
      <c r="F420" s="78"/>
      <c r="G420" s="80"/>
      <c r="H420" s="4"/>
      <c r="I420" s="76"/>
      <c r="J420" s="78"/>
      <c r="K420" s="78"/>
      <c r="L420" s="78"/>
      <c r="M420" s="78"/>
      <c r="N420" s="81"/>
      <c r="O420" s="78"/>
      <c r="P420" s="82"/>
      <c r="Q420" s="4"/>
      <c r="R420" s="78"/>
      <c r="S420" s="83"/>
      <c r="T420" s="4"/>
      <c r="U420" s="77"/>
    </row>
    <row r="421" spans="1:21" ht="18.75" customHeight="1" x14ac:dyDescent="0.2">
      <c r="A421" s="76"/>
      <c r="B421" s="77"/>
      <c r="C421" s="78"/>
      <c r="D421" s="79"/>
      <c r="E421" s="99"/>
      <c r="F421" s="78"/>
      <c r="G421" s="80"/>
      <c r="H421" s="4"/>
      <c r="I421" s="76"/>
      <c r="J421" s="78"/>
      <c r="K421" s="78"/>
      <c r="L421" s="78"/>
      <c r="M421" s="78"/>
      <c r="N421" s="81"/>
      <c r="O421" s="78"/>
      <c r="P421" s="82"/>
      <c r="Q421" s="4"/>
      <c r="R421" s="78"/>
      <c r="S421" s="83"/>
      <c r="T421" s="4"/>
      <c r="U421" s="77"/>
    </row>
    <row r="422" spans="1:21" ht="18.75" customHeight="1" x14ac:dyDescent="0.2">
      <c r="A422" s="76"/>
      <c r="B422" s="77"/>
      <c r="C422" s="78"/>
      <c r="D422" s="79"/>
      <c r="E422" s="99"/>
      <c r="F422" s="78"/>
      <c r="G422" s="80"/>
      <c r="H422" s="4"/>
      <c r="I422" s="76"/>
      <c r="J422" s="78"/>
      <c r="K422" s="78"/>
      <c r="L422" s="78"/>
      <c r="M422" s="78"/>
      <c r="N422" s="81"/>
      <c r="O422" s="78"/>
      <c r="P422" s="82"/>
      <c r="Q422" s="4"/>
      <c r="R422" s="78"/>
      <c r="S422" s="83"/>
      <c r="T422" s="4"/>
      <c r="U422" s="77"/>
    </row>
    <row r="423" spans="1:21" ht="18.75" customHeight="1" x14ac:dyDescent="0.2">
      <c r="A423" s="76"/>
      <c r="B423" s="77"/>
      <c r="C423" s="78"/>
      <c r="D423" s="79"/>
      <c r="E423" s="99"/>
      <c r="F423" s="78"/>
      <c r="G423" s="80"/>
      <c r="H423" s="4"/>
      <c r="I423" s="76"/>
      <c r="J423" s="78"/>
      <c r="K423" s="78"/>
      <c r="L423" s="78"/>
      <c r="M423" s="78"/>
      <c r="N423" s="81"/>
      <c r="O423" s="78"/>
      <c r="P423" s="82"/>
      <c r="Q423" s="4"/>
      <c r="R423" s="78"/>
      <c r="S423" s="83"/>
      <c r="T423" s="4"/>
      <c r="U423" s="77"/>
    </row>
    <row r="424" spans="1:21" ht="18.75" customHeight="1" x14ac:dyDescent="0.2">
      <c r="A424" s="76"/>
      <c r="B424" s="77"/>
      <c r="C424" s="78"/>
      <c r="D424" s="79"/>
      <c r="E424" s="99"/>
      <c r="F424" s="78"/>
      <c r="G424" s="80"/>
      <c r="H424" s="4"/>
      <c r="I424" s="76"/>
      <c r="J424" s="78"/>
      <c r="K424" s="78"/>
      <c r="L424" s="78"/>
      <c r="M424" s="78"/>
      <c r="N424" s="81"/>
      <c r="O424" s="78"/>
      <c r="P424" s="82"/>
      <c r="Q424" s="4"/>
      <c r="R424" s="78"/>
      <c r="S424" s="83"/>
      <c r="T424" s="4"/>
      <c r="U424" s="77"/>
    </row>
    <row r="425" spans="1:21" ht="18.75" customHeight="1" x14ac:dyDescent="0.2">
      <c r="A425" s="76"/>
      <c r="B425" s="77"/>
      <c r="C425" s="78"/>
      <c r="D425" s="79"/>
      <c r="E425" s="99"/>
      <c r="F425" s="78"/>
      <c r="G425" s="80"/>
      <c r="H425" s="4"/>
      <c r="I425" s="76"/>
      <c r="J425" s="78"/>
      <c r="K425" s="78"/>
      <c r="L425" s="78"/>
      <c r="M425" s="78"/>
      <c r="N425" s="81"/>
      <c r="O425" s="78"/>
      <c r="P425" s="82"/>
      <c r="Q425" s="4"/>
      <c r="R425" s="78"/>
      <c r="S425" s="83"/>
      <c r="T425" s="4"/>
      <c r="U425" s="77"/>
    </row>
    <row r="426" spans="1:21" ht="18.75" customHeight="1" x14ac:dyDescent="0.2">
      <c r="A426" s="76"/>
      <c r="B426" s="77"/>
      <c r="C426" s="78"/>
      <c r="D426" s="79"/>
      <c r="E426" s="99"/>
      <c r="F426" s="78"/>
      <c r="G426" s="80"/>
      <c r="H426" s="4"/>
      <c r="I426" s="76"/>
      <c r="J426" s="78"/>
      <c r="K426" s="78"/>
      <c r="L426" s="78"/>
      <c r="M426" s="78"/>
      <c r="N426" s="81"/>
      <c r="O426" s="78"/>
      <c r="P426" s="82"/>
      <c r="Q426" s="4"/>
      <c r="R426" s="78"/>
      <c r="S426" s="83"/>
      <c r="T426" s="4"/>
      <c r="U426" s="77"/>
    </row>
    <row r="427" spans="1:21" ht="18.75" customHeight="1" x14ac:dyDescent="0.2">
      <c r="A427" s="76"/>
      <c r="B427" s="77"/>
      <c r="C427" s="78"/>
      <c r="D427" s="79"/>
      <c r="E427" s="99"/>
      <c r="F427" s="78"/>
      <c r="G427" s="80"/>
      <c r="H427" s="4"/>
      <c r="I427" s="76"/>
      <c r="J427" s="78"/>
      <c r="K427" s="78"/>
      <c r="L427" s="78"/>
      <c r="M427" s="78"/>
      <c r="N427" s="81"/>
      <c r="O427" s="78"/>
      <c r="P427" s="82"/>
      <c r="Q427" s="4"/>
      <c r="R427" s="78"/>
      <c r="S427" s="83"/>
      <c r="T427" s="4"/>
      <c r="U427" s="77"/>
    </row>
    <row r="428" spans="1:21" ht="18.75" customHeight="1" x14ac:dyDescent="0.2">
      <c r="A428" s="76"/>
      <c r="B428" s="77"/>
      <c r="C428" s="78"/>
      <c r="D428" s="79"/>
      <c r="E428" s="99"/>
      <c r="F428" s="78"/>
      <c r="G428" s="80"/>
      <c r="H428" s="4"/>
      <c r="I428" s="76"/>
      <c r="J428" s="78"/>
      <c r="K428" s="78"/>
      <c r="L428" s="78"/>
      <c r="M428" s="78"/>
      <c r="N428" s="81"/>
      <c r="O428" s="78"/>
      <c r="P428" s="82"/>
      <c r="Q428" s="4"/>
      <c r="R428" s="78"/>
      <c r="S428" s="83"/>
      <c r="T428" s="4"/>
      <c r="U428" s="77"/>
    </row>
    <row r="429" spans="1:21" ht="18.75" customHeight="1" x14ac:dyDescent="0.2">
      <c r="A429" s="76"/>
      <c r="B429" s="77"/>
      <c r="C429" s="78"/>
      <c r="D429" s="79"/>
      <c r="E429" s="99"/>
      <c r="F429" s="78"/>
      <c r="G429" s="80"/>
      <c r="H429" s="4"/>
      <c r="I429" s="76"/>
      <c r="J429" s="78"/>
      <c r="K429" s="78"/>
      <c r="L429" s="78"/>
      <c r="M429" s="78"/>
      <c r="N429" s="81"/>
      <c r="O429" s="78"/>
      <c r="P429" s="82"/>
      <c r="Q429" s="4"/>
      <c r="R429" s="78"/>
      <c r="S429" s="83"/>
      <c r="T429" s="4"/>
      <c r="U429" s="77"/>
    </row>
    <row r="430" spans="1:21" ht="18.75" customHeight="1" x14ac:dyDescent="0.2">
      <c r="A430" s="76"/>
      <c r="B430" s="77"/>
      <c r="C430" s="78"/>
      <c r="D430" s="79"/>
      <c r="E430" s="99"/>
      <c r="F430" s="78"/>
      <c r="G430" s="80"/>
      <c r="H430" s="4"/>
      <c r="I430" s="76"/>
      <c r="J430" s="78"/>
      <c r="K430" s="78"/>
      <c r="L430" s="78"/>
      <c r="M430" s="78"/>
      <c r="N430" s="81"/>
      <c r="O430" s="78"/>
      <c r="P430" s="82"/>
      <c r="Q430" s="4"/>
      <c r="R430" s="78"/>
      <c r="S430" s="83"/>
      <c r="T430" s="4"/>
      <c r="U430" s="77"/>
    </row>
    <row r="431" spans="1:21" ht="18.75" customHeight="1" x14ac:dyDescent="0.2">
      <c r="A431" s="76"/>
      <c r="B431" s="77"/>
      <c r="C431" s="78"/>
      <c r="D431" s="79"/>
      <c r="E431" s="99"/>
      <c r="F431" s="78"/>
      <c r="G431" s="80"/>
      <c r="H431" s="4"/>
      <c r="I431" s="76"/>
      <c r="J431" s="78"/>
      <c r="K431" s="78"/>
      <c r="L431" s="78"/>
      <c r="M431" s="78"/>
      <c r="N431" s="81"/>
      <c r="O431" s="78"/>
      <c r="P431" s="82"/>
      <c r="Q431" s="4"/>
      <c r="R431" s="78"/>
      <c r="S431" s="83"/>
      <c r="T431" s="4"/>
      <c r="U431" s="77"/>
    </row>
    <row r="432" spans="1:21" ht="18.75" customHeight="1" x14ac:dyDescent="0.2">
      <c r="A432" s="76"/>
      <c r="B432" s="77"/>
      <c r="C432" s="78"/>
      <c r="D432" s="79"/>
      <c r="E432" s="99"/>
      <c r="F432" s="78"/>
      <c r="G432" s="80"/>
      <c r="H432" s="4"/>
      <c r="I432" s="76"/>
      <c r="J432" s="78"/>
      <c r="K432" s="78"/>
      <c r="L432" s="78"/>
      <c r="M432" s="78"/>
      <c r="N432" s="81"/>
      <c r="O432" s="78"/>
      <c r="P432" s="82"/>
      <c r="Q432" s="4"/>
      <c r="R432" s="78"/>
      <c r="S432" s="83"/>
      <c r="T432" s="4"/>
      <c r="U432" s="77"/>
    </row>
    <row r="433" spans="1:21" ht="18.75" customHeight="1" x14ac:dyDescent="0.2">
      <c r="A433" s="76"/>
      <c r="B433" s="77"/>
      <c r="C433" s="78"/>
      <c r="D433" s="79"/>
      <c r="E433" s="99"/>
      <c r="F433" s="78"/>
      <c r="G433" s="80"/>
      <c r="H433" s="4"/>
      <c r="I433" s="76"/>
      <c r="J433" s="78"/>
      <c r="K433" s="78"/>
      <c r="L433" s="78"/>
      <c r="M433" s="78"/>
      <c r="N433" s="81"/>
      <c r="O433" s="78"/>
      <c r="P433" s="82"/>
      <c r="Q433" s="4"/>
      <c r="R433" s="78"/>
      <c r="S433" s="83"/>
      <c r="T433" s="4"/>
      <c r="U433" s="77"/>
    </row>
    <row r="434" spans="1:21" ht="18.75" customHeight="1" x14ac:dyDescent="0.2">
      <c r="A434" s="76"/>
      <c r="B434" s="77"/>
      <c r="C434" s="78"/>
      <c r="D434" s="79"/>
      <c r="E434" s="99"/>
      <c r="F434" s="78"/>
      <c r="G434" s="80"/>
      <c r="H434" s="4"/>
      <c r="I434" s="76"/>
      <c r="J434" s="78"/>
      <c r="K434" s="78"/>
      <c r="L434" s="78"/>
      <c r="M434" s="78"/>
      <c r="N434" s="81"/>
      <c r="O434" s="78"/>
      <c r="P434" s="82"/>
      <c r="Q434" s="4"/>
      <c r="R434" s="78"/>
      <c r="S434" s="83"/>
      <c r="T434" s="4"/>
      <c r="U434" s="77"/>
    </row>
    <row r="435" spans="1:21" ht="18.75" customHeight="1" x14ac:dyDescent="0.2">
      <c r="A435" s="76"/>
      <c r="B435" s="77"/>
      <c r="C435" s="78"/>
      <c r="D435" s="79"/>
      <c r="E435" s="99"/>
      <c r="F435" s="78"/>
      <c r="G435" s="80"/>
      <c r="H435" s="4"/>
      <c r="I435" s="76"/>
      <c r="J435" s="78"/>
      <c r="K435" s="78"/>
      <c r="L435" s="78"/>
      <c r="M435" s="78"/>
      <c r="N435" s="81"/>
      <c r="O435" s="78"/>
      <c r="P435" s="82"/>
      <c r="Q435" s="4"/>
      <c r="R435" s="78"/>
      <c r="S435" s="83"/>
      <c r="T435" s="4"/>
      <c r="U435" s="77"/>
    </row>
    <row r="436" spans="1:21" ht="18.75" customHeight="1" x14ac:dyDescent="0.2">
      <c r="A436" s="76"/>
      <c r="B436" s="77"/>
      <c r="C436" s="78"/>
      <c r="D436" s="79"/>
      <c r="E436" s="99"/>
      <c r="F436" s="78"/>
      <c r="G436" s="80"/>
      <c r="H436" s="4"/>
      <c r="I436" s="76"/>
      <c r="J436" s="78"/>
      <c r="K436" s="78"/>
      <c r="L436" s="78"/>
      <c r="M436" s="78"/>
      <c r="N436" s="81"/>
      <c r="O436" s="78"/>
      <c r="P436" s="82"/>
      <c r="Q436" s="4"/>
      <c r="R436" s="78"/>
      <c r="S436" s="83"/>
      <c r="T436" s="4"/>
      <c r="U436" s="77"/>
    </row>
    <row r="437" spans="1:21" ht="18.75" customHeight="1" x14ac:dyDescent="0.2">
      <c r="A437" s="76"/>
      <c r="B437" s="77"/>
      <c r="C437" s="78"/>
      <c r="D437" s="79"/>
      <c r="E437" s="99"/>
      <c r="F437" s="78"/>
      <c r="G437" s="80"/>
      <c r="H437" s="4"/>
      <c r="I437" s="76"/>
      <c r="J437" s="78"/>
      <c r="K437" s="78"/>
      <c r="L437" s="78"/>
      <c r="M437" s="78"/>
      <c r="N437" s="81"/>
      <c r="O437" s="78"/>
      <c r="P437" s="82"/>
      <c r="Q437" s="4"/>
      <c r="R437" s="78"/>
      <c r="S437" s="83"/>
      <c r="T437" s="4"/>
      <c r="U437" s="77"/>
    </row>
    <row r="438" spans="1:21" ht="18.75" customHeight="1" x14ac:dyDescent="0.2">
      <c r="A438" s="76"/>
      <c r="B438" s="77"/>
      <c r="C438" s="78"/>
      <c r="D438" s="79"/>
      <c r="E438" s="99"/>
      <c r="F438" s="78"/>
      <c r="G438" s="80"/>
      <c r="H438" s="4"/>
      <c r="I438" s="76"/>
      <c r="J438" s="78"/>
      <c r="K438" s="78"/>
      <c r="L438" s="78"/>
      <c r="M438" s="78"/>
      <c r="N438" s="81"/>
      <c r="O438" s="78"/>
      <c r="P438" s="82"/>
      <c r="Q438" s="4"/>
      <c r="R438" s="78"/>
      <c r="S438" s="83"/>
      <c r="T438" s="4"/>
      <c r="U438" s="77"/>
    </row>
    <row r="439" spans="1:21" ht="18.75" customHeight="1" x14ac:dyDescent="0.2">
      <c r="A439" s="76"/>
      <c r="B439" s="77"/>
      <c r="C439" s="78"/>
      <c r="D439" s="79"/>
      <c r="E439" s="99"/>
      <c r="F439" s="78"/>
      <c r="G439" s="80"/>
      <c r="H439" s="4"/>
      <c r="I439" s="76"/>
      <c r="J439" s="78"/>
      <c r="K439" s="78"/>
      <c r="L439" s="78"/>
      <c r="M439" s="78"/>
      <c r="N439" s="81"/>
      <c r="O439" s="78"/>
      <c r="P439" s="82"/>
      <c r="Q439" s="4"/>
      <c r="R439" s="78"/>
      <c r="S439" s="83"/>
      <c r="T439" s="4"/>
      <c r="U439" s="77"/>
    </row>
    <row r="440" spans="1:21" ht="18.75" customHeight="1" x14ac:dyDescent="0.2">
      <c r="A440" s="76"/>
      <c r="B440" s="77"/>
      <c r="C440" s="78"/>
      <c r="D440" s="79"/>
      <c r="E440" s="99"/>
      <c r="F440" s="78"/>
      <c r="G440" s="80"/>
      <c r="H440" s="4"/>
      <c r="I440" s="76"/>
      <c r="J440" s="78"/>
      <c r="K440" s="78"/>
      <c r="L440" s="78"/>
      <c r="M440" s="78"/>
      <c r="N440" s="81"/>
      <c r="O440" s="78"/>
      <c r="P440" s="82"/>
      <c r="Q440" s="4"/>
      <c r="R440" s="78"/>
      <c r="S440" s="83"/>
      <c r="T440" s="4"/>
      <c r="U440" s="77"/>
    </row>
    <row r="441" spans="1:21" ht="18.75" customHeight="1" x14ac:dyDescent="0.2">
      <c r="A441" s="76"/>
      <c r="B441" s="77"/>
      <c r="C441" s="78"/>
      <c r="D441" s="79"/>
      <c r="E441" s="99"/>
      <c r="F441" s="78"/>
      <c r="G441" s="80"/>
      <c r="H441" s="4"/>
      <c r="I441" s="76"/>
      <c r="J441" s="78"/>
      <c r="K441" s="78"/>
      <c r="L441" s="78"/>
      <c r="M441" s="78"/>
      <c r="N441" s="81"/>
      <c r="O441" s="78"/>
      <c r="P441" s="82"/>
      <c r="Q441" s="4"/>
      <c r="R441" s="78"/>
      <c r="S441" s="83"/>
      <c r="T441" s="4"/>
      <c r="U441" s="77"/>
    </row>
    <row r="442" spans="1:21" ht="18.75" customHeight="1" x14ac:dyDescent="0.2">
      <c r="A442" s="76"/>
      <c r="B442" s="77"/>
      <c r="C442" s="78"/>
      <c r="D442" s="79"/>
      <c r="E442" s="99"/>
      <c r="F442" s="78"/>
      <c r="G442" s="80"/>
      <c r="H442" s="4"/>
      <c r="I442" s="76"/>
      <c r="J442" s="78"/>
      <c r="K442" s="78"/>
      <c r="L442" s="78"/>
      <c r="M442" s="78"/>
      <c r="N442" s="81"/>
      <c r="O442" s="78"/>
      <c r="P442" s="82"/>
      <c r="Q442" s="4"/>
      <c r="R442" s="78"/>
      <c r="S442" s="83"/>
      <c r="T442" s="4"/>
      <c r="U442" s="77"/>
    </row>
    <row r="443" spans="1:21" ht="18.75" customHeight="1" x14ac:dyDescent="0.2">
      <c r="A443" s="76"/>
      <c r="B443" s="77"/>
      <c r="C443" s="78"/>
      <c r="D443" s="79"/>
      <c r="E443" s="99"/>
      <c r="F443" s="78"/>
      <c r="G443" s="80"/>
      <c r="H443" s="4"/>
      <c r="I443" s="76"/>
      <c r="J443" s="78"/>
      <c r="K443" s="78"/>
      <c r="L443" s="78"/>
      <c r="M443" s="78"/>
      <c r="N443" s="81"/>
      <c r="O443" s="78"/>
      <c r="P443" s="82"/>
      <c r="Q443" s="4"/>
      <c r="R443" s="78"/>
      <c r="S443" s="83"/>
      <c r="T443" s="4"/>
      <c r="U443" s="77"/>
    </row>
    <row r="444" spans="1:21" ht="18.75" customHeight="1" x14ac:dyDescent="0.2">
      <c r="A444" s="76"/>
      <c r="B444" s="77"/>
      <c r="C444" s="78"/>
      <c r="D444" s="79"/>
      <c r="E444" s="99"/>
      <c r="F444" s="78"/>
      <c r="G444" s="80"/>
      <c r="H444" s="4"/>
      <c r="I444" s="76"/>
      <c r="J444" s="78"/>
      <c r="K444" s="78"/>
      <c r="L444" s="78"/>
      <c r="M444" s="78"/>
      <c r="N444" s="81"/>
      <c r="O444" s="78"/>
      <c r="P444" s="82"/>
      <c r="Q444" s="4"/>
      <c r="R444" s="78"/>
      <c r="S444" s="83"/>
      <c r="T444" s="4"/>
      <c r="U444" s="77"/>
    </row>
    <row r="445" spans="1:21" ht="18.75" customHeight="1" x14ac:dyDescent="0.2">
      <c r="A445" s="76"/>
      <c r="B445" s="77"/>
      <c r="C445" s="78"/>
      <c r="D445" s="79"/>
      <c r="E445" s="99"/>
      <c r="F445" s="78"/>
      <c r="G445" s="80"/>
      <c r="H445" s="4"/>
      <c r="I445" s="76"/>
      <c r="J445" s="78"/>
      <c r="K445" s="78"/>
      <c r="L445" s="78"/>
      <c r="M445" s="78"/>
      <c r="N445" s="81"/>
      <c r="O445" s="78"/>
      <c r="P445" s="82"/>
      <c r="Q445" s="4"/>
      <c r="R445" s="78"/>
      <c r="S445" s="83"/>
      <c r="T445" s="4"/>
      <c r="U445" s="77"/>
    </row>
    <row r="446" spans="1:21" ht="18.75" customHeight="1" x14ac:dyDescent="0.2">
      <c r="A446" s="76"/>
      <c r="B446" s="77"/>
      <c r="C446" s="78"/>
      <c r="D446" s="79"/>
      <c r="E446" s="99"/>
      <c r="F446" s="78"/>
      <c r="G446" s="80"/>
      <c r="H446" s="4"/>
      <c r="I446" s="76"/>
      <c r="J446" s="78"/>
      <c r="K446" s="78"/>
      <c r="L446" s="78"/>
      <c r="M446" s="78"/>
      <c r="N446" s="81"/>
      <c r="O446" s="78"/>
      <c r="P446" s="82"/>
      <c r="Q446" s="4"/>
      <c r="R446" s="78"/>
      <c r="S446" s="83"/>
      <c r="T446" s="4"/>
      <c r="U446" s="77"/>
    </row>
    <row r="447" spans="1:21" ht="18.75" customHeight="1" x14ac:dyDescent="0.2">
      <c r="A447" s="76"/>
      <c r="B447" s="77"/>
      <c r="C447" s="78"/>
      <c r="D447" s="79"/>
      <c r="E447" s="99"/>
      <c r="F447" s="78"/>
      <c r="G447" s="80"/>
      <c r="H447" s="4"/>
      <c r="I447" s="76"/>
      <c r="J447" s="78"/>
      <c r="K447" s="78"/>
      <c r="L447" s="78"/>
      <c r="M447" s="78"/>
      <c r="N447" s="81"/>
      <c r="O447" s="78"/>
      <c r="P447" s="82"/>
      <c r="Q447" s="4"/>
      <c r="R447" s="78"/>
      <c r="S447" s="83"/>
      <c r="T447" s="4"/>
      <c r="U447" s="77"/>
    </row>
    <row r="448" spans="1:21" ht="18.75" customHeight="1" x14ac:dyDescent="0.2">
      <c r="A448" s="76"/>
      <c r="B448" s="77"/>
      <c r="C448" s="78"/>
      <c r="D448" s="79"/>
      <c r="E448" s="99"/>
      <c r="F448" s="78"/>
      <c r="G448" s="80"/>
      <c r="H448" s="4"/>
      <c r="I448" s="76"/>
      <c r="J448" s="78"/>
      <c r="K448" s="78"/>
      <c r="L448" s="78"/>
      <c r="M448" s="78"/>
      <c r="N448" s="81"/>
      <c r="O448" s="78"/>
      <c r="P448" s="82"/>
      <c r="Q448" s="4"/>
      <c r="R448" s="78"/>
      <c r="S448" s="83"/>
      <c r="T448" s="4"/>
      <c r="U448" s="77"/>
    </row>
    <row r="449" spans="1:21" ht="18.75" customHeight="1" x14ac:dyDescent="0.2">
      <c r="A449" s="76"/>
      <c r="B449" s="77"/>
      <c r="C449" s="78"/>
      <c r="D449" s="79"/>
      <c r="E449" s="99"/>
      <c r="F449" s="78"/>
      <c r="G449" s="80"/>
      <c r="H449" s="4"/>
      <c r="I449" s="76"/>
      <c r="J449" s="78"/>
      <c r="K449" s="78"/>
      <c r="L449" s="78"/>
      <c r="M449" s="78"/>
      <c r="N449" s="81"/>
      <c r="O449" s="78"/>
      <c r="P449" s="82"/>
      <c r="Q449" s="4"/>
      <c r="R449" s="78"/>
      <c r="S449" s="83"/>
      <c r="T449" s="4"/>
      <c r="U449" s="77"/>
    </row>
    <row r="450" spans="1:21" ht="18.75" customHeight="1" x14ac:dyDescent="0.2">
      <c r="A450" s="76"/>
      <c r="B450" s="77"/>
      <c r="C450" s="78"/>
      <c r="D450" s="79"/>
      <c r="E450" s="99"/>
      <c r="F450" s="78"/>
      <c r="G450" s="80"/>
      <c r="H450" s="4"/>
      <c r="I450" s="76"/>
      <c r="J450" s="78"/>
      <c r="K450" s="78"/>
      <c r="L450" s="78"/>
      <c r="M450" s="78"/>
      <c r="N450" s="81"/>
      <c r="O450" s="78"/>
      <c r="P450" s="82"/>
      <c r="Q450" s="4"/>
      <c r="R450" s="78"/>
      <c r="S450" s="83"/>
      <c r="T450" s="4"/>
      <c r="U450" s="77"/>
    </row>
    <row r="451" spans="1:21" ht="18.75" customHeight="1" x14ac:dyDescent="0.2">
      <c r="A451" s="76"/>
      <c r="B451" s="77"/>
      <c r="C451" s="78"/>
      <c r="D451" s="79"/>
      <c r="E451" s="99"/>
      <c r="F451" s="78"/>
      <c r="G451" s="80"/>
      <c r="H451" s="4"/>
      <c r="I451" s="76"/>
      <c r="J451" s="78"/>
      <c r="K451" s="78"/>
      <c r="L451" s="78"/>
      <c r="M451" s="78"/>
      <c r="N451" s="81"/>
      <c r="O451" s="78"/>
      <c r="P451" s="82"/>
      <c r="Q451" s="4"/>
      <c r="R451" s="78"/>
      <c r="S451" s="83"/>
      <c r="T451" s="4"/>
      <c r="U451" s="77"/>
    </row>
    <row r="452" spans="1:21" ht="18.75" customHeight="1" x14ac:dyDescent="0.2">
      <c r="A452" s="76"/>
      <c r="B452" s="77"/>
      <c r="C452" s="78"/>
      <c r="D452" s="79"/>
      <c r="E452" s="99"/>
      <c r="F452" s="78"/>
      <c r="G452" s="80"/>
      <c r="H452" s="4"/>
      <c r="I452" s="76"/>
      <c r="J452" s="78"/>
      <c r="K452" s="78"/>
      <c r="L452" s="78"/>
      <c r="M452" s="78"/>
      <c r="N452" s="81"/>
      <c r="O452" s="78"/>
      <c r="P452" s="82"/>
      <c r="Q452" s="4"/>
      <c r="R452" s="78"/>
      <c r="S452" s="83"/>
      <c r="T452" s="4"/>
      <c r="U452" s="77"/>
    </row>
    <row r="453" spans="1:21" ht="18.75" customHeight="1" x14ac:dyDescent="0.2">
      <c r="A453" s="76"/>
      <c r="B453" s="77"/>
      <c r="C453" s="78"/>
      <c r="D453" s="79"/>
      <c r="E453" s="99"/>
      <c r="F453" s="78"/>
      <c r="G453" s="80"/>
      <c r="H453" s="4"/>
      <c r="I453" s="76"/>
      <c r="J453" s="78"/>
      <c r="K453" s="78"/>
      <c r="L453" s="78"/>
      <c r="M453" s="78"/>
      <c r="N453" s="81"/>
      <c r="O453" s="78"/>
      <c r="P453" s="82"/>
      <c r="Q453" s="4"/>
      <c r="R453" s="78"/>
      <c r="S453" s="83"/>
      <c r="T453" s="4"/>
      <c r="U453" s="77"/>
    </row>
    <row r="454" spans="1:21" ht="18.75" customHeight="1" x14ac:dyDescent="0.2">
      <c r="A454" s="76"/>
      <c r="B454" s="77"/>
      <c r="C454" s="78"/>
      <c r="D454" s="79"/>
      <c r="E454" s="99"/>
      <c r="F454" s="78"/>
      <c r="G454" s="80"/>
      <c r="H454" s="4"/>
      <c r="I454" s="76"/>
      <c r="J454" s="78"/>
      <c r="K454" s="78"/>
      <c r="L454" s="78"/>
      <c r="M454" s="78"/>
      <c r="N454" s="81"/>
      <c r="O454" s="78"/>
      <c r="P454" s="82"/>
      <c r="Q454" s="4"/>
      <c r="R454" s="78"/>
      <c r="S454" s="83"/>
      <c r="T454" s="4"/>
      <c r="U454" s="77"/>
    </row>
    <row r="455" spans="1:21" ht="18.75" customHeight="1" x14ac:dyDescent="0.2">
      <c r="A455" s="76"/>
      <c r="B455" s="77"/>
      <c r="C455" s="78"/>
      <c r="D455" s="79"/>
      <c r="E455" s="99"/>
      <c r="F455" s="78"/>
      <c r="G455" s="80"/>
      <c r="H455" s="4"/>
      <c r="I455" s="76"/>
      <c r="J455" s="78"/>
      <c r="K455" s="78"/>
      <c r="L455" s="78"/>
      <c r="M455" s="78"/>
      <c r="N455" s="81"/>
      <c r="O455" s="78"/>
      <c r="P455" s="82"/>
      <c r="Q455" s="4"/>
      <c r="R455" s="78"/>
      <c r="S455" s="83"/>
      <c r="T455" s="4"/>
      <c r="U455" s="77"/>
    </row>
    <row r="456" spans="1:21" ht="18.75" customHeight="1" x14ac:dyDescent="0.2">
      <c r="A456" s="76"/>
      <c r="B456" s="77"/>
      <c r="C456" s="78"/>
      <c r="D456" s="79"/>
      <c r="E456" s="99"/>
      <c r="F456" s="78"/>
      <c r="G456" s="80"/>
      <c r="H456" s="4"/>
      <c r="I456" s="76"/>
      <c r="J456" s="78"/>
      <c r="K456" s="78"/>
      <c r="L456" s="78"/>
      <c r="M456" s="78"/>
      <c r="N456" s="81"/>
      <c r="O456" s="78"/>
      <c r="P456" s="82"/>
      <c r="Q456" s="4"/>
      <c r="R456" s="78"/>
      <c r="S456" s="83"/>
      <c r="T456" s="4"/>
      <c r="U456" s="77"/>
    </row>
    <row r="457" spans="1:21" ht="18.75" customHeight="1" x14ac:dyDescent="0.2">
      <c r="A457" s="76"/>
      <c r="B457" s="77"/>
      <c r="C457" s="78"/>
      <c r="D457" s="79"/>
      <c r="E457" s="99"/>
      <c r="F457" s="78"/>
      <c r="G457" s="80"/>
      <c r="H457" s="4"/>
      <c r="I457" s="76"/>
      <c r="J457" s="78"/>
      <c r="K457" s="78"/>
      <c r="L457" s="78"/>
      <c r="M457" s="78"/>
      <c r="N457" s="81"/>
      <c r="O457" s="78"/>
      <c r="P457" s="82"/>
      <c r="Q457" s="4"/>
      <c r="R457" s="78"/>
      <c r="S457" s="83"/>
      <c r="T457" s="4"/>
      <c r="U457" s="77"/>
    </row>
    <row r="458" spans="1:21" ht="18.75" customHeight="1" x14ac:dyDescent="0.2">
      <c r="A458" s="76"/>
      <c r="B458" s="77"/>
      <c r="C458" s="78"/>
      <c r="D458" s="79"/>
      <c r="E458" s="99"/>
      <c r="F458" s="78"/>
      <c r="G458" s="80"/>
      <c r="H458" s="4"/>
      <c r="I458" s="76"/>
      <c r="J458" s="78"/>
      <c r="K458" s="78"/>
      <c r="L458" s="78"/>
      <c r="M458" s="78"/>
      <c r="N458" s="81"/>
      <c r="O458" s="78"/>
      <c r="P458" s="82"/>
      <c r="Q458" s="4"/>
      <c r="R458" s="78"/>
      <c r="S458" s="83"/>
      <c r="T458" s="4"/>
      <c r="U458" s="77"/>
    </row>
    <row r="459" spans="1:21" ht="18.75" customHeight="1" x14ac:dyDescent="0.2">
      <c r="A459" s="76"/>
      <c r="B459" s="77"/>
      <c r="C459" s="78"/>
      <c r="D459" s="79"/>
      <c r="E459" s="99"/>
      <c r="F459" s="78"/>
      <c r="G459" s="80"/>
      <c r="H459" s="4"/>
      <c r="I459" s="76"/>
      <c r="J459" s="78"/>
      <c r="K459" s="78"/>
      <c r="L459" s="78"/>
      <c r="M459" s="78"/>
      <c r="N459" s="81"/>
      <c r="O459" s="78"/>
      <c r="P459" s="82"/>
      <c r="Q459" s="4"/>
      <c r="R459" s="78"/>
      <c r="S459" s="83"/>
      <c r="T459" s="4"/>
      <c r="U459" s="77"/>
    </row>
    <row r="460" spans="1:21" ht="18.75" customHeight="1" x14ac:dyDescent="0.2">
      <c r="A460" s="76"/>
      <c r="B460" s="77"/>
      <c r="C460" s="78"/>
      <c r="D460" s="79"/>
      <c r="E460" s="99"/>
      <c r="F460" s="78"/>
      <c r="G460" s="80"/>
      <c r="H460" s="4"/>
      <c r="I460" s="76"/>
      <c r="J460" s="78"/>
      <c r="K460" s="78"/>
      <c r="L460" s="78"/>
      <c r="M460" s="78"/>
      <c r="N460" s="81"/>
      <c r="O460" s="78"/>
      <c r="P460" s="82"/>
      <c r="Q460" s="4"/>
      <c r="R460" s="78"/>
      <c r="S460" s="83"/>
      <c r="T460" s="4"/>
      <c r="U460" s="77"/>
    </row>
    <row r="461" spans="1:21" ht="18.75" customHeight="1" x14ac:dyDescent="0.2">
      <c r="A461" s="76"/>
      <c r="B461" s="77"/>
      <c r="C461" s="78"/>
      <c r="D461" s="79"/>
      <c r="E461" s="99"/>
      <c r="F461" s="78"/>
      <c r="G461" s="80"/>
      <c r="H461" s="4"/>
      <c r="I461" s="76"/>
      <c r="J461" s="78"/>
      <c r="K461" s="78"/>
      <c r="L461" s="78"/>
      <c r="M461" s="78"/>
      <c r="N461" s="81"/>
      <c r="O461" s="78"/>
      <c r="P461" s="82"/>
      <c r="Q461" s="4"/>
      <c r="R461" s="78"/>
      <c r="S461" s="83"/>
      <c r="T461" s="4"/>
      <c r="U461" s="77"/>
    </row>
    <row r="462" spans="1:21" ht="18.75" customHeight="1" x14ac:dyDescent="0.2">
      <c r="A462" s="76"/>
      <c r="B462" s="77"/>
      <c r="C462" s="78"/>
      <c r="D462" s="79"/>
      <c r="E462" s="99"/>
      <c r="F462" s="78"/>
      <c r="G462" s="80"/>
      <c r="H462" s="4"/>
      <c r="I462" s="76"/>
      <c r="J462" s="78"/>
      <c r="K462" s="78"/>
      <c r="L462" s="78"/>
      <c r="M462" s="78"/>
      <c r="N462" s="81"/>
      <c r="O462" s="78"/>
      <c r="P462" s="82"/>
      <c r="Q462" s="4"/>
      <c r="R462" s="78"/>
      <c r="S462" s="83"/>
      <c r="T462" s="4"/>
      <c r="U462" s="77"/>
    </row>
    <row r="463" spans="1:21" ht="18.75" customHeight="1" x14ac:dyDescent="0.2">
      <c r="A463" s="76"/>
      <c r="B463" s="77"/>
      <c r="C463" s="78"/>
      <c r="D463" s="79"/>
      <c r="E463" s="99"/>
      <c r="F463" s="78"/>
      <c r="G463" s="80"/>
      <c r="H463" s="4"/>
      <c r="I463" s="76"/>
      <c r="J463" s="78"/>
      <c r="K463" s="78"/>
      <c r="L463" s="78"/>
      <c r="M463" s="78"/>
      <c r="N463" s="81"/>
      <c r="O463" s="78"/>
      <c r="P463" s="82"/>
      <c r="Q463" s="4"/>
      <c r="R463" s="78"/>
      <c r="S463" s="83"/>
      <c r="T463" s="4"/>
      <c r="U463" s="77"/>
    </row>
    <row r="464" spans="1:21" ht="18.75" customHeight="1" x14ac:dyDescent="0.2">
      <c r="A464" s="76"/>
      <c r="B464" s="77"/>
      <c r="C464" s="78"/>
      <c r="D464" s="79"/>
      <c r="E464" s="99"/>
      <c r="F464" s="78"/>
      <c r="G464" s="80"/>
      <c r="H464" s="4"/>
      <c r="I464" s="76"/>
      <c r="J464" s="78"/>
      <c r="K464" s="78"/>
      <c r="L464" s="78"/>
      <c r="M464" s="78"/>
      <c r="N464" s="81"/>
      <c r="O464" s="78"/>
      <c r="P464" s="82"/>
      <c r="Q464" s="4"/>
      <c r="R464" s="78"/>
      <c r="S464" s="83"/>
      <c r="T464" s="4"/>
      <c r="U464" s="77"/>
    </row>
    <row r="465" spans="1:21" ht="18.75" customHeight="1" x14ac:dyDescent="0.2">
      <c r="A465" s="76"/>
      <c r="B465" s="77"/>
      <c r="C465" s="78"/>
      <c r="D465" s="79"/>
      <c r="E465" s="99"/>
      <c r="F465" s="78"/>
      <c r="G465" s="80"/>
      <c r="H465" s="4"/>
      <c r="I465" s="76"/>
      <c r="J465" s="78"/>
      <c r="K465" s="78"/>
      <c r="L465" s="78"/>
      <c r="M465" s="78"/>
      <c r="N465" s="81"/>
      <c r="O465" s="78"/>
      <c r="P465" s="82"/>
      <c r="Q465" s="4"/>
      <c r="R465" s="78"/>
      <c r="S465" s="83"/>
      <c r="T465" s="4"/>
      <c r="U465" s="77"/>
    </row>
    <row r="466" spans="1:21" ht="18.75" customHeight="1" x14ac:dyDescent="0.2">
      <c r="A466" s="76"/>
      <c r="B466" s="77"/>
      <c r="C466" s="78"/>
      <c r="D466" s="79"/>
      <c r="E466" s="99"/>
      <c r="F466" s="78"/>
      <c r="G466" s="80"/>
      <c r="H466" s="4"/>
      <c r="I466" s="76"/>
      <c r="J466" s="78"/>
      <c r="K466" s="78"/>
      <c r="L466" s="78"/>
      <c r="M466" s="78"/>
      <c r="N466" s="81"/>
      <c r="O466" s="78"/>
      <c r="P466" s="82"/>
      <c r="Q466" s="4"/>
      <c r="R466" s="78"/>
      <c r="S466" s="83"/>
      <c r="T466" s="4"/>
      <c r="U466" s="77"/>
    </row>
    <row r="467" spans="1:21" ht="18.75" customHeight="1" x14ac:dyDescent="0.2">
      <c r="A467" s="76"/>
      <c r="B467" s="77"/>
      <c r="C467" s="78"/>
      <c r="D467" s="79"/>
      <c r="E467" s="99"/>
      <c r="F467" s="78"/>
      <c r="G467" s="80"/>
      <c r="H467" s="4"/>
      <c r="I467" s="76"/>
      <c r="J467" s="78"/>
      <c r="K467" s="78"/>
      <c r="L467" s="78"/>
      <c r="M467" s="78"/>
      <c r="N467" s="81"/>
      <c r="O467" s="78"/>
      <c r="P467" s="82"/>
      <c r="Q467" s="4"/>
      <c r="R467" s="78"/>
      <c r="S467" s="83"/>
      <c r="T467" s="4"/>
      <c r="U467" s="77"/>
    </row>
    <row r="468" spans="1:21" ht="18.75" customHeight="1" x14ac:dyDescent="0.2">
      <c r="A468" s="76"/>
      <c r="B468" s="77"/>
      <c r="C468" s="78"/>
      <c r="D468" s="79"/>
      <c r="E468" s="99"/>
      <c r="F468" s="78"/>
      <c r="G468" s="80"/>
      <c r="H468" s="4"/>
      <c r="I468" s="76"/>
      <c r="J468" s="78"/>
      <c r="K468" s="78"/>
      <c r="L468" s="78"/>
      <c r="M468" s="78"/>
      <c r="N468" s="81"/>
      <c r="O468" s="78"/>
      <c r="P468" s="82"/>
      <c r="Q468" s="4"/>
      <c r="R468" s="78"/>
      <c r="S468" s="83"/>
      <c r="T468" s="4"/>
      <c r="U468" s="77"/>
    </row>
    <row r="469" spans="1:21" ht="18.75" customHeight="1" x14ac:dyDescent="0.2">
      <c r="A469" s="76"/>
      <c r="B469" s="77"/>
      <c r="C469" s="78"/>
      <c r="D469" s="79"/>
      <c r="E469" s="99"/>
      <c r="F469" s="78"/>
      <c r="G469" s="80"/>
      <c r="H469" s="4"/>
      <c r="I469" s="76"/>
      <c r="J469" s="78"/>
      <c r="K469" s="78"/>
      <c r="L469" s="78"/>
      <c r="M469" s="78"/>
      <c r="N469" s="81"/>
      <c r="O469" s="78"/>
      <c r="P469" s="82"/>
      <c r="Q469" s="4"/>
      <c r="R469" s="78"/>
      <c r="S469" s="83"/>
      <c r="T469" s="4"/>
      <c r="U469" s="77"/>
    </row>
    <row r="470" spans="1:21" ht="18.75" customHeight="1" x14ac:dyDescent="0.2">
      <c r="A470" s="76"/>
      <c r="B470" s="77"/>
      <c r="C470" s="78"/>
      <c r="D470" s="79"/>
      <c r="E470" s="99"/>
      <c r="F470" s="78"/>
      <c r="G470" s="80"/>
      <c r="H470" s="4"/>
      <c r="I470" s="76"/>
      <c r="J470" s="78"/>
      <c r="K470" s="78"/>
      <c r="L470" s="78"/>
      <c r="M470" s="78"/>
      <c r="N470" s="81"/>
      <c r="O470" s="78"/>
      <c r="P470" s="82"/>
      <c r="Q470" s="4"/>
      <c r="R470" s="78"/>
      <c r="S470" s="83"/>
      <c r="T470" s="4"/>
      <c r="U470" s="77"/>
    </row>
    <row r="471" spans="1:21" ht="18.75" customHeight="1" x14ac:dyDescent="0.2">
      <c r="A471" s="76"/>
      <c r="B471" s="77"/>
      <c r="C471" s="78"/>
      <c r="D471" s="79"/>
      <c r="E471" s="99"/>
      <c r="F471" s="78"/>
      <c r="G471" s="80"/>
      <c r="H471" s="4"/>
      <c r="I471" s="76"/>
      <c r="J471" s="78"/>
      <c r="K471" s="78"/>
      <c r="L471" s="78"/>
      <c r="M471" s="78"/>
      <c r="N471" s="81"/>
      <c r="O471" s="78"/>
      <c r="P471" s="82"/>
      <c r="Q471" s="4"/>
      <c r="R471" s="78"/>
      <c r="S471" s="83"/>
      <c r="T471" s="4"/>
      <c r="U471" s="77"/>
    </row>
    <row r="472" spans="1:21" ht="18.75" customHeight="1" x14ac:dyDescent="0.2">
      <c r="A472" s="76"/>
      <c r="B472" s="77"/>
      <c r="C472" s="78"/>
      <c r="D472" s="79"/>
      <c r="E472" s="99"/>
      <c r="F472" s="78"/>
      <c r="G472" s="80"/>
      <c r="H472" s="4"/>
      <c r="I472" s="76"/>
      <c r="J472" s="78"/>
      <c r="K472" s="78"/>
      <c r="L472" s="78"/>
      <c r="M472" s="78"/>
      <c r="N472" s="81"/>
      <c r="O472" s="78"/>
      <c r="P472" s="82"/>
      <c r="Q472" s="4"/>
      <c r="R472" s="78"/>
      <c r="S472" s="83"/>
      <c r="T472" s="4"/>
      <c r="U472" s="77"/>
    </row>
    <row r="473" spans="1:21" ht="18.75" customHeight="1" x14ac:dyDescent="0.2">
      <c r="A473" s="76"/>
      <c r="B473" s="77"/>
      <c r="C473" s="78"/>
      <c r="D473" s="79"/>
      <c r="E473" s="99"/>
      <c r="F473" s="78"/>
      <c r="G473" s="80"/>
      <c r="H473" s="4"/>
      <c r="I473" s="76"/>
      <c r="J473" s="78"/>
      <c r="K473" s="78"/>
      <c r="L473" s="78"/>
      <c r="M473" s="78"/>
      <c r="N473" s="81"/>
      <c r="O473" s="78"/>
      <c r="P473" s="82"/>
      <c r="Q473" s="4"/>
      <c r="R473" s="78"/>
      <c r="S473" s="83"/>
      <c r="T473" s="4"/>
      <c r="U473" s="77"/>
    </row>
    <row r="474" spans="1:21" ht="18.75" customHeight="1" x14ac:dyDescent="0.2">
      <c r="A474" s="76"/>
      <c r="B474" s="77"/>
      <c r="C474" s="78"/>
      <c r="D474" s="79"/>
      <c r="E474" s="99"/>
      <c r="F474" s="78"/>
      <c r="G474" s="80"/>
      <c r="H474" s="4"/>
      <c r="I474" s="76"/>
      <c r="J474" s="78"/>
      <c r="K474" s="78"/>
      <c r="L474" s="78"/>
      <c r="M474" s="78"/>
      <c r="N474" s="81"/>
      <c r="O474" s="78"/>
      <c r="P474" s="82"/>
      <c r="Q474" s="4"/>
      <c r="R474" s="78"/>
      <c r="S474" s="83"/>
      <c r="T474" s="4"/>
      <c r="U474" s="77"/>
    </row>
    <row r="475" spans="1:21" ht="18.75" customHeight="1" x14ac:dyDescent="0.2">
      <c r="A475" s="76"/>
      <c r="B475" s="77"/>
      <c r="C475" s="78"/>
      <c r="D475" s="79"/>
      <c r="E475" s="99"/>
      <c r="F475" s="78"/>
      <c r="G475" s="80"/>
      <c r="H475" s="4"/>
      <c r="I475" s="76"/>
      <c r="J475" s="78"/>
      <c r="K475" s="78"/>
      <c r="L475" s="78"/>
      <c r="M475" s="78"/>
      <c r="N475" s="81"/>
      <c r="O475" s="78"/>
      <c r="P475" s="82"/>
      <c r="Q475" s="4"/>
      <c r="R475" s="78"/>
      <c r="S475" s="83"/>
      <c r="T475" s="4"/>
      <c r="U475" s="77"/>
    </row>
    <row r="476" spans="1:21" ht="18.75" customHeight="1" x14ac:dyDescent="0.2">
      <c r="A476" s="76"/>
      <c r="B476" s="77"/>
      <c r="C476" s="78"/>
      <c r="D476" s="79"/>
      <c r="E476" s="99"/>
      <c r="F476" s="78"/>
      <c r="G476" s="80"/>
      <c r="H476" s="4"/>
      <c r="I476" s="76"/>
      <c r="J476" s="78"/>
      <c r="K476" s="78"/>
      <c r="L476" s="78"/>
      <c r="M476" s="78"/>
      <c r="N476" s="81"/>
      <c r="O476" s="78"/>
      <c r="P476" s="82"/>
      <c r="Q476" s="4"/>
      <c r="R476" s="78"/>
      <c r="S476" s="83"/>
      <c r="T476" s="4"/>
      <c r="U476" s="77"/>
    </row>
    <row r="477" spans="1:21" ht="18.75" customHeight="1" x14ac:dyDescent="0.2">
      <c r="A477" s="76"/>
      <c r="B477" s="77"/>
      <c r="C477" s="78"/>
      <c r="D477" s="79"/>
      <c r="E477" s="99"/>
      <c r="F477" s="78"/>
      <c r="G477" s="80"/>
      <c r="H477" s="4"/>
      <c r="I477" s="76"/>
      <c r="J477" s="78"/>
      <c r="K477" s="78"/>
      <c r="L477" s="78"/>
      <c r="M477" s="78"/>
      <c r="N477" s="81"/>
      <c r="O477" s="78"/>
      <c r="P477" s="82"/>
      <c r="Q477" s="4"/>
      <c r="R477" s="78"/>
      <c r="S477" s="83"/>
      <c r="T477" s="4"/>
      <c r="U477" s="77"/>
    </row>
    <row r="478" spans="1:21" ht="18.75" customHeight="1" x14ac:dyDescent="0.2">
      <c r="A478" s="76"/>
      <c r="B478" s="77"/>
      <c r="C478" s="78"/>
      <c r="D478" s="79"/>
      <c r="E478" s="99"/>
      <c r="F478" s="78"/>
      <c r="G478" s="80"/>
      <c r="H478" s="4"/>
      <c r="I478" s="76"/>
      <c r="J478" s="78"/>
      <c r="K478" s="78"/>
      <c r="L478" s="78"/>
      <c r="M478" s="78"/>
      <c r="N478" s="81"/>
      <c r="O478" s="78"/>
      <c r="P478" s="82"/>
      <c r="Q478" s="4"/>
      <c r="R478" s="78"/>
      <c r="S478" s="83"/>
      <c r="T478" s="4"/>
      <c r="U478" s="77"/>
    </row>
    <row r="479" spans="1:21" ht="18.75" customHeight="1" x14ac:dyDescent="0.2">
      <c r="A479" s="76"/>
      <c r="B479" s="77"/>
      <c r="C479" s="78"/>
      <c r="D479" s="79"/>
      <c r="E479" s="99"/>
      <c r="F479" s="78"/>
      <c r="G479" s="80"/>
      <c r="H479" s="4"/>
      <c r="I479" s="76"/>
      <c r="J479" s="78"/>
      <c r="K479" s="78"/>
      <c r="L479" s="78"/>
      <c r="M479" s="78"/>
      <c r="N479" s="81"/>
      <c r="O479" s="78"/>
      <c r="P479" s="82"/>
      <c r="Q479" s="4"/>
      <c r="R479" s="78"/>
      <c r="S479" s="83"/>
      <c r="T479" s="4"/>
      <c r="U479" s="77"/>
    </row>
    <row r="480" spans="1:21" ht="18.75" customHeight="1" x14ac:dyDescent="0.2">
      <c r="A480" s="76"/>
      <c r="B480" s="77"/>
      <c r="C480" s="78"/>
      <c r="D480" s="79"/>
      <c r="E480" s="99"/>
      <c r="F480" s="78"/>
      <c r="G480" s="80"/>
      <c r="H480" s="4"/>
      <c r="I480" s="76"/>
      <c r="J480" s="78"/>
      <c r="K480" s="78"/>
      <c r="L480" s="78"/>
      <c r="M480" s="78"/>
      <c r="N480" s="81"/>
      <c r="O480" s="78"/>
      <c r="P480" s="82"/>
      <c r="Q480" s="4"/>
      <c r="R480" s="78"/>
      <c r="S480" s="83"/>
      <c r="T480" s="4"/>
      <c r="U480" s="77"/>
    </row>
    <row r="481" spans="1:21" ht="18.75" customHeight="1" x14ac:dyDescent="0.2">
      <c r="A481" s="76"/>
      <c r="B481" s="77"/>
      <c r="C481" s="78"/>
      <c r="D481" s="79"/>
      <c r="E481" s="99"/>
      <c r="F481" s="78"/>
      <c r="G481" s="80"/>
      <c r="H481" s="4"/>
      <c r="I481" s="76"/>
      <c r="J481" s="78"/>
      <c r="K481" s="78"/>
      <c r="L481" s="78"/>
      <c r="M481" s="78"/>
      <c r="N481" s="81"/>
      <c r="O481" s="78"/>
      <c r="P481" s="82"/>
      <c r="Q481" s="4"/>
      <c r="R481" s="78"/>
      <c r="S481" s="83"/>
      <c r="T481" s="4"/>
      <c r="U481" s="77"/>
    </row>
    <row r="482" spans="1:21" ht="18.75" customHeight="1" x14ac:dyDescent="0.2">
      <c r="A482" s="76"/>
      <c r="B482" s="77"/>
      <c r="C482" s="78"/>
      <c r="D482" s="79"/>
      <c r="E482" s="99"/>
      <c r="F482" s="78"/>
      <c r="G482" s="80"/>
      <c r="H482" s="4"/>
      <c r="I482" s="76"/>
      <c r="J482" s="78"/>
      <c r="K482" s="78"/>
      <c r="L482" s="78"/>
      <c r="M482" s="78"/>
      <c r="N482" s="81"/>
      <c r="O482" s="78"/>
      <c r="P482" s="82"/>
      <c r="Q482" s="4"/>
      <c r="R482" s="78"/>
      <c r="S482" s="83"/>
      <c r="T482" s="4"/>
      <c r="U482" s="77"/>
    </row>
    <row r="483" spans="1:21" ht="18.75" customHeight="1" x14ac:dyDescent="0.2">
      <c r="A483" s="76"/>
      <c r="B483" s="77"/>
      <c r="C483" s="78"/>
      <c r="D483" s="79"/>
      <c r="E483" s="99"/>
      <c r="F483" s="78"/>
      <c r="G483" s="80"/>
      <c r="H483" s="4"/>
      <c r="I483" s="76"/>
      <c r="J483" s="78"/>
      <c r="K483" s="78"/>
      <c r="L483" s="78"/>
      <c r="M483" s="78"/>
      <c r="N483" s="81"/>
      <c r="O483" s="78"/>
      <c r="P483" s="82"/>
      <c r="Q483" s="4"/>
      <c r="R483" s="78"/>
      <c r="S483" s="83"/>
      <c r="T483" s="4"/>
      <c r="U483" s="77"/>
    </row>
    <row r="484" spans="1:21" ht="18.75" customHeight="1" x14ac:dyDescent="0.2">
      <c r="A484" s="76"/>
      <c r="B484" s="77"/>
      <c r="C484" s="78"/>
      <c r="D484" s="79"/>
      <c r="E484" s="99"/>
      <c r="F484" s="78"/>
      <c r="G484" s="80"/>
      <c r="H484" s="4"/>
      <c r="I484" s="76"/>
      <c r="J484" s="78"/>
      <c r="K484" s="78"/>
      <c r="L484" s="78"/>
      <c r="M484" s="78"/>
      <c r="N484" s="81"/>
      <c r="O484" s="78"/>
      <c r="P484" s="82"/>
      <c r="Q484" s="4"/>
      <c r="R484" s="78"/>
      <c r="S484" s="83"/>
      <c r="T484" s="4"/>
      <c r="U484" s="77"/>
    </row>
    <row r="485" spans="1:21" ht="18.75" customHeight="1" x14ac:dyDescent="0.2">
      <c r="A485" s="76"/>
      <c r="B485" s="77"/>
      <c r="C485" s="78"/>
      <c r="D485" s="79"/>
      <c r="E485" s="99"/>
      <c r="F485" s="78"/>
      <c r="G485" s="80"/>
      <c r="H485" s="4"/>
      <c r="I485" s="76"/>
      <c r="J485" s="78"/>
      <c r="K485" s="78"/>
      <c r="L485" s="78"/>
      <c r="M485" s="78"/>
      <c r="N485" s="81"/>
      <c r="O485" s="78"/>
      <c r="P485" s="82"/>
      <c r="Q485" s="4"/>
      <c r="R485" s="78"/>
      <c r="S485" s="83"/>
      <c r="T485" s="4"/>
      <c r="U485" s="77"/>
    </row>
    <row r="486" spans="1:21" ht="18.75" customHeight="1" x14ac:dyDescent="0.2">
      <c r="A486" s="76"/>
      <c r="B486" s="77"/>
      <c r="C486" s="78"/>
      <c r="D486" s="79"/>
      <c r="E486" s="99"/>
      <c r="F486" s="78"/>
      <c r="G486" s="80"/>
      <c r="H486" s="4"/>
      <c r="I486" s="76"/>
      <c r="J486" s="78"/>
      <c r="K486" s="78"/>
      <c r="L486" s="78"/>
      <c r="M486" s="78"/>
      <c r="N486" s="81"/>
      <c r="O486" s="78"/>
      <c r="P486" s="82"/>
      <c r="Q486" s="4"/>
      <c r="R486" s="78"/>
      <c r="S486" s="83"/>
      <c r="T486" s="4"/>
      <c r="U486" s="77"/>
    </row>
    <row r="487" spans="1:21" ht="18.75" customHeight="1" x14ac:dyDescent="0.2">
      <c r="A487" s="76"/>
      <c r="B487" s="77"/>
      <c r="C487" s="78"/>
      <c r="D487" s="79"/>
      <c r="E487" s="99"/>
      <c r="F487" s="78"/>
      <c r="G487" s="80"/>
      <c r="H487" s="4"/>
      <c r="I487" s="76"/>
      <c r="J487" s="78"/>
      <c r="K487" s="78"/>
      <c r="L487" s="78"/>
      <c r="M487" s="78"/>
      <c r="N487" s="81"/>
      <c r="O487" s="78"/>
      <c r="P487" s="82"/>
      <c r="Q487" s="4"/>
      <c r="R487" s="78"/>
      <c r="S487" s="83"/>
      <c r="T487" s="4"/>
      <c r="U487" s="77"/>
    </row>
    <row r="488" spans="1:21" ht="18.75" customHeight="1" x14ac:dyDescent="0.2">
      <c r="A488" s="76"/>
      <c r="B488" s="77"/>
      <c r="C488" s="78"/>
      <c r="D488" s="79"/>
      <c r="E488" s="99"/>
      <c r="F488" s="78"/>
      <c r="G488" s="80"/>
      <c r="H488" s="4"/>
      <c r="I488" s="76"/>
      <c r="J488" s="78"/>
      <c r="K488" s="78"/>
      <c r="L488" s="78"/>
      <c r="M488" s="78"/>
      <c r="N488" s="81"/>
      <c r="O488" s="78"/>
      <c r="P488" s="82"/>
      <c r="Q488" s="4"/>
      <c r="R488" s="78"/>
      <c r="S488" s="83"/>
      <c r="T488" s="4"/>
      <c r="U488" s="77"/>
    </row>
    <row r="489" spans="1:21" ht="18.75" customHeight="1" x14ac:dyDescent="0.2">
      <c r="A489" s="76"/>
      <c r="B489" s="77"/>
      <c r="C489" s="78"/>
      <c r="D489" s="79"/>
      <c r="E489" s="99"/>
      <c r="F489" s="78"/>
      <c r="G489" s="80"/>
      <c r="H489" s="4"/>
      <c r="I489" s="76"/>
      <c r="J489" s="78"/>
      <c r="K489" s="78"/>
      <c r="L489" s="78"/>
      <c r="M489" s="78"/>
      <c r="N489" s="81"/>
      <c r="O489" s="78"/>
      <c r="P489" s="82"/>
      <c r="Q489" s="4"/>
      <c r="R489" s="78"/>
      <c r="S489" s="83"/>
      <c r="T489" s="4"/>
      <c r="U489" s="77"/>
    </row>
    <row r="490" spans="1:21" ht="18.75" customHeight="1" x14ac:dyDescent="0.2">
      <c r="A490" s="76"/>
      <c r="B490" s="77"/>
      <c r="C490" s="78"/>
      <c r="D490" s="79"/>
      <c r="E490" s="99"/>
      <c r="F490" s="78"/>
      <c r="G490" s="80"/>
      <c r="H490" s="4"/>
      <c r="I490" s="76"/>
      <c r="J490" s="78"/>
      <c r="K490" s="78"/>
      <c r="L490" s="78"/>
      <c r="M490" s="78"/>
      <c r="N490" s="81"/>
      <c r="O490" s="78"/>
      <c r="P490" s="82"/>
      <c r="Q490" s="4"/>
      <c r="R490" s="78"/>
      <c r="S490" s="83"/>
      <c r="T490" s="4"/>
      <c r="U490" s="77"/>
    </row>
    <row r="491" spans="1:21" ht="18.75" customHeight="1" x14ac:dyDescent="0.2">
      <c r="A491" s="76"/>
      <c r="B491" s="77"/>
      <c r="C491" s="78"/>
      <c r="D491" s="79"/>
      <c r="E491" s="99"/>
      <c r="F491" s="78"/>
      <c r="G491" s="80"/>
      <c r="H491" s="4"/>
      <c r="I491" s="76"/>
      <c r="J491" s="78"/>
      <c r="K491" s="78"/>
      <c r="L491" s="78"/>
      <c r="M491" s="78"/>
      <c r="N491" s="81"/>
      <c r="O491" s="78"/>
      <c r="P491" s="82"/>
      <c r="Q491" s="4"/>
      <c r="R491" s="78"/>
      <c r="S491" s="83"/>
      <c r="T491" s="4"/>
      <c r="U491" s="77"/>
    </row>
    <row r="492" spans="1:21" ht="18.75" customHeight="1" x14ac:dyDescent="0.2">
      <c r="A492" s="76"/>
      <c r="B492" s="77"/>
      <c r="C492" s="78"/>
      <c r="D492" s="79"/>
      <c r="E492" s="99"/>
      <c r="F492" s="78"/>
      <c r="G492" s="80"/>
      <c r="H492" s="4"/>
      <c r="I492" s="76"/>
      <c r="J492" s="78"/>
      <c r="K492" s="78"/>
      <c r="L492" s="78"/>
      <c r="M492" s="78"/>
      <c r="N492" s="81"/>
      <c r="O492" s="78"/>
      <c r="P492" s="82"/>
      <c r="Q492" s="4"/>
      <c r="R492" s="78"/>
      <c r="S492" s="83"/>
      <c r="T492" s="4"/>
      <c r="U492" s="77"/>
    </row>
    <row r="493" spans="1:21" ht="18.75" customHeight="1" x14ac:dyDescent="0.2">
      <c r="A493" s="76"/>
      <c r="B493" s="77"/>
      <c r="C493" s="78"/>
      <c r="D493" s="79"/>
      <c r="E493" s="99"/>
      <c r="F493" s="78"/>
      <c r="G493" s="80"/>
      <c r="H493" s="4"/>
      <c r="I493" s="76"/>
      <c r="J493" s="78"/>
      <c r="K493" s="78"/>
      <c r="L493" s="78"/>
      <c r="M493" s="78"/>
      <c r="N493" s="81"/>
      <c r="O493" s="78"/>
      <c r="P493" s="82"/>
      <c r="Q493" s="4"/>
      <c r="R493" s="78"/>
      <c r="S493" s="83"/>
      <c r="T493" s="4"/>
      <c r="U493" s="77"/>
    </row>
    <row r="494" spans="1:21" ht="18.75" customHeight="1" x14ac:dyDescent="0.2">
      <c r="A494" s="76"/>
      <c r="B494" s="77"/>
      <c r="C494" s="78"/>
      <c r="D494" s="79"/>
      <c r="E494" s="99"/>
      <c r="F494" s="78"/>
      <c r="G494" s="80"/>
      <c r="H494" s="4"/>
      <c r="I494" s="76"/>
      <c r="J494" s="78"/>
      <c r="K494" s="78"/>
      <c r="L494" s="78"/>
      <c r="M494" s="78"/>
      <c r="N494" s="81"/>
      <c r="O494" s="78"/>
      <c r="P494" s="82"/>
      <c r="Q494" s="4"/>
      <c r="R494" s="78"/>
      <c r="S494" s="83"/>
      <c r="T494" s="4"/>
      <c r="U494" s="77"/>
    </row>
    <row r="495" spans="1:21" ht="18.75" customHeight="1" x14ac:dyDescent="0.2">
      <c r="A495" s="76"/>
      <c r="B495" s="77"/>
      <c r="C495" s="78"/>
      <c r="D495" s="79"/>
      <c r="E495" s="99"/>
      <c r="F495" s="78"/>
      <c r="G495" s="80"/>
      <c r="H495" s="4"/>
      <c r="I495" s="76"/>
      <c r="J495" s="78"/>
      <c r="K495" s="78"/>
      <c r="L495" s="78"/>
      <c r="M495" s="78"/>
      <c r="N495" s="81"/>
      <c r="O495" s="78"/>
      <c r="P495" s="82"/>
      <c r="Q495" s="4"/>
      <c r="R495" s="78"/>
      <c r="S495" s="83"/>
      <c r="T495" s="4"/>
      <c r="U495" s="77"/>
    </row>
    <row r="496" spans="1:21" ht="18.75" customHeight="1" x14ac:dyDescent="0.2">
      <c r="A496" s="76"/>
      <c r="B496" s="77"/>
      <c r="C496" s="78"/>
      <c r="D496" s="79"/>
      <c r="E496" s="99"/>
      <c r="F496" s="78"/>
      <c r="G496" s="80"/>
      <c r="H496" s="4"/>
      <c r="I496" s="76"/>
      <c r="J496" s="78"/>
      <c r="K496" s="78"/>
      <c r="L496" s="78"/>
      <c r="M496" s="78"/>
      <c r="N496" s="81"/>
      <c r="O496" s="78"/>
      <c r="P496" s="82"/>
      <c r="Q496" s="4"/>
      <c r="R496" s="78"/>
      <c r="S496" s="83"/>
      <c r="T496" s="4"/>
      <c r="U496" s="77"/>
    </row>
    <row r="497" spans="1:21" ht="18.75" customHeight="1" x14ac:dyDescent="0.2">
      <c r="A497" s="76"/>
      <c r="B497" s="77"/>
      <c r="C497" s="78"/>
      <c r="D497" s="79"/>
      <c r="E497" s="99"/>
      <c r="F497" s="78"/>
      <c r="G497" s="80"/>
      <c r="H497" s="4"/>
      <c r="I497" s="76"/>
      <c r="J497" s="78"/>
      <c r="K497" s="78"/>
      <c r="L497" s="78"/>
      <c r="M497" s="78"/>
      <c r="N497" s="81"/>
      <c r="O497" s="78"/>
      <c r="P497" s="82"/>
      <c r="Q497" s="4"/>
      <c r="R497" s="78"/>
      <c r="S497" s="83"/>
      <c r="T497" s="4"/>
      <c r="U497" s="77"/>
    </row>
    <row r="498" spans="1:21" ht="18.75" customHeight="1" x14ac:dyDescent="0.2">
      <c r="A498" s="76"/>
      <c r="B498" s="77"/>
      <c r="C498" s="78"/>
      <c r="D498" s="79"/>
      <c r="E498" s="99"/>
      <c r="F498" s="78"/>
      <c r="G498" s="80"/>
      <c r="H498" s="4"/>
      <c r="I498" s="76"/>
      <c r="J498" s="78"/>
      <c r="K498" s="78"/>
      <c r="L498" s="78"/>
      <c r="M498" s="78"/>
      <c r="N498" s="81"/>
      <c r="O498" s="78"/>
      <c r="P498" s="82"/>
      <c r="Q498" s="4"/>
      <c r="R498" s="78"/>
      <c r="S498" s="83"/>
      <c r="T498" s="4"/>
      <c r="U498" s="77"/>
    </row>
    <row r="499" spans="1:21" ht="18.75" customHeight="1" x14ac:dyDescent="0.2">
      <c r="A499" s="76"/>
      <c r="B499" s="77"/>
      <c r="C499" s="78"/>
      <c r="D499" s="79"/>
      <c r="E499" s="99"/>
      <c r="F499" s="78"/>
      <c r="G499" s="80"/>
      <c r="H499" s="4"/>
      <c r="I499" s="76"/>
      <c r="J499" s="78"/>
      <c r="K499" s="78"/>
      <c r="L499" s="78"/>
      <c r="M499" s="78"/>
      <c r="N499" s="81"/>
      <c r="O499" s="78"/>
      <c r="P499" s="82"/>
      <c r="Q499" s="4"/>
      <c r="R499" s="78"/>
      <c r="S499" s="83"/>
      <c r="T499" s="4"/>
      <c r="U499" s="77"/>
    </row>
    <row r="500" spans="1:21" ht="18.75" customHeight="1" x14ac:dyDescent="0.2">
      <c r="A500" s="76"/>
      <c r="B500" s="77"/>
      <c r="C500" s="78"/>
      <c r="D500" s="79"/>
      <c r="E500" s="99"/>
      <c r="F500" s="78"/>
      <c r="G500" s="80"/>
      <c r="H500" s="4"/>
      <c r="I500" s="76"/>
      <c r="J500" s="78"/>
      <c r="K500" s="78"/>
      <c r="L500" s="78"/>
      <c r="M500" s="78"/>
      <c r="N500" s="81"/>
      <c r="O500" s="78"/>
      <c r="P500" s="82"/>
      <c r="Q500" s="4"/>
      <c r="R500" s="78"/>
      <c r="S500" s="83"/>
      <c r="T500" s="4"/>
      <c r="U500" s="77"/>
    </row>
    <row r="501" spans="1:21" ht="18.75" customHeight="1" x14ac:dyDescent="0.2">
      <c r="A501" s="76"/>
      <c r="B501" s="77"/>
      <c r="C501" s="78"/>
      <c r="D501" s="79"/>
      <c r="E501" s="99"/>
      <c r="F501" s="78"/>
      <c r="G501" s="80"/>
      <c r="H501" s="4"/>
      <c r="I501" s="76"/>
      <c r="J501" s="78"/>
      <c r="K501" s="78"/>
      <c r="L501" s="78"/>
      <c r="M501" s="78"/>
      <c r="N501" s="81"/>
      <c r="O501" s="78"/>
      <c r="P501" s="82"/>
      <c r="Q501" s="4"/>
      <c r="R501" s="78"/>
      <c r="S501" s="83"/>
      <c r="T501" s="4"/>
      <c r="U501" s="77"/>
    </row>
    <row r="502" spans="1:21" ht="18.75" customHeight="1" x14ac:dyDescent="0.2">
      <c r="A502" s="76"/>
      <c r="B502" s="77"/>
      <c r="C502" s="78"/>
      <c r="D502" s="79"/>
      <c r="E502" s="99"/>
      <c r="F502" s="78"/>
      <c r="G502" s="80"/>
      <c r="H502" s="4"/>
      <c r="I502" s="76"/>
      <c r="J502" s="78"/>
      <c r="K502" s="78"/>
      <c r="L502" s="78"/>
      <c r="M502" s="78"/>
      <c r="N502" s="81"/>
      <c r="O502" s="78"/>
      <c r="P502" s="82"/>
      <c r="Q502" s="4"/>
      <c r="R502" s="78"/>
      <c r="S502" s="83"/>
      <c r="T502" s="4"/>
      <c r="U502" s="77"/>
    </row>
    <row r="503" spans="1:21" ht="18.75" customHeight="1" x14ac:dyDescent="0.2">
      <c r="A503" s="76"/>
      <c r="B503" s="77"/>
      <c r="C503" s="78"/>
      <c r="D503" s="79"/>
      <c r="E503" s="99"/>
      <c r="F503" s="78"/>
      <c r="G503" s="80"/>
      <c r="H503" s="4"/>
      <c r="I503" s="76"/>
      <c r="J503" s="78"/>
      <c r="K503" s="78"/>
      <c r="L503" s="78"/>
      <c r="M503" s="78"/>
      <c r="N503" s="81"/>
      <c r="O503" s="78"/>
      <c r="P503" s="82"/>
      <c r="Q503" s="4"/>
      <c r="R503" s="78"/>
      <c r="S503" s="83"/>
      <c r="T503" s="4"/>
      <c r="U503" s="77"/>
    </row>
    <row r="504" spans="1:21" ht="18.75" customHeight="1" x14ac:dyDescent="0.2">
      <c r="A504" s="76"/>
      <c r="B504" s="77"/>
      <c r="C504" s="78"/>
      <c r="D504" s="79"/>
      <c r="E504" s="99"/>
      <c r="F504" s="78"/>
      <c r="G504" s="80"/>
      <c r="H504" s="4"/>
      <c r="I504" s="76"/>
      <c r="J504" s="78"/>
      <c r="K504" s="78"/>
      <c r="L504" s="78"/>
      <c r="M504" s="78"/>
      <c r="N504" s="81"/>
      <c r="O504" s="78"/>
      <c r="P504" s="82"/>
      <c r="Q504" s="4"/>
      <c r="R504" s="78"/>
      <c r="S504" s="83"/>
      <c r="T504" s="4"/>
      <c r="U504" s="77"/>
    </row>
    <row r="505" spans="1:21" ht="18.75" customHeight="1" x14ac:dyDescent="0.2">
      <c r="A505" s="76"/>
      <c r="B505" s="77"/>
      <c r="C505" s="78"/>
      <c r="D505" s="79"/>
      <c r="E505" s="99"/>
      <c r="F505" s="78"/>
      <c r="G505" s="80"/>
      <c r="H505" s="4"/>
      <c r="I505" s="76"/>
      <c r="J505" s="78"/>
      <c r="K505" s="78"/>
      <c r="L505" s="78"/>
      <c r="M505" s="78"/>
      <c r="N505" s="81"/>
      <c r="O505" s="78"/>
      <c r="P505" s="82"/>
      <c r="Q505" s="4"/>
      <c r="R505" s="78"/>
      <c r="S505" s="83"/>
      <c r="T505" s="4"/>
      <c r="U505" s="77"/>
    </row>
    <row r="506" spans="1:21" ht="18.75" customHeight="1" x14ac:dyDescent="0.2">
      <c r="A506" s="76"/>
      <c r="B506" s="77"/>
      <c r="C506" s="78"/>
      <c r="D506" s="79"/>
      <c r="E506" s="99"/>
      <c r="F506" s="78"/>
      <c r="G506" s="80"/>
      <c r="H506" s="4"/>
      <c r="I506" s="76"/>
      <c r="J506" s="78"/>
      <c r="K506" s="78"/>
      <c r="L506" s="78"/>
      <c r="M506" s="78"/>
      <c r="N506" s="81"/>
      <c r="O506" s="78"/>
      <c r="P506" s="82"/>
      <c r="Q506" s="4"/>
      <c r="R506" s="78"/>
      <c r="S506" s="83"/>
      <c r="T506" s="4"/>
      <c r="U506" s="77"/>
    </row>
    <row r="507" spans="1:21" ht="18.75" customHeight="1" x14ac:dyDescent="0.2">
      <c r="A507" s="76"/>
      <c r="B507" s="77"/>
      <c r="C507" s="78"/>
      <c r="D507" s="79"/>
      <c r="E507" s="99"/>
      <c r="F507" s="78"/>
      <c r="G507" s="80"/>
      <c r="H507" s="4"/>
      <c r="I507" s="76"/>
      <c r="J507" s="78"/>
      <c r="K507" s="78"/>
      <c r="L507" s="78"/>
      <c r="M507" s="78"/>
      <c r="N507" s="81"/>
      <c r="O507" s="78"/>
      <c r="P507" s="82"/>
      <c r="Q507" s="4"/>
      <c r="R507" s="78"/>
      <c r="S507" s="83"/>
      <c r="T507" s="4"/>
      <c r="U507" s="77"/>
    </row>
    <row r="508" spans="1:21" ht="18.75" customHeight="1" x14ac:dyDescent="0.2">
      <c r="A508" s="76"/>
      <c r="B508" s="77"/>
      <c r="C508" s="78"/>
      <c r="D508" s="79"/>
      <c r="E508" s="99"/>
      <c r="F508" s="78"/>
      <c r="G508" s="80"/>
      <c r="H508" s="4"/>
      <c r="I508" s="76"/>
      <c r="J508" s="78"/>
      <c r="K508" s="78"/>
      <c r="L508" s="78"/>
      <c r="M508" s="78"/>
      <c r="N508" s="81"/>
      <c r="O508" s="78"/>
      <c r="P508" s="82"/>
      <c r="Q508" s="4"/>
      <c r="R508" s="78"/>
      <c r="S508" s="83"/>
      <c r="T508" s="4"/>
      <c r="U508" s="77"/>
    </row>
    <row r="509" spans="1:21" ht="18.75" customHeight="1" x14ac:dyDescent="0.2">
      <c r="A509" s="76"/>
      <c r="B509" s="77"/>
      <c r="C509" s="78"/>
      <c r="D509" s="79"/>
      <c r="E509" s="99"/>
      <c r="F509" s="78"/>
      <c r="G509" s="80"/>
      <c r="H509" s="4"/>
      <c r="I509" s="76"/>
      <c r="J509" s="78"/>
      <c r="K509" s="78"/>
      <c r="L509" s="78"/>
      <c r="M509" s="78"/>
      <c r="N509" s="81"/>
      <c r="O509" s="78"/>
      <c r="P509" s="82"/>
      <c r="Q509" s="4"/>
      <c r="R509" s="78"/>
      <c r="S509" s="83"/>
      <c r="T509" s="4"/>
      <c r="U509" s="77"/>
    </row>
    <row r="510" spans="1:21" ht="18.75" customHeight="1" x14ac:dyDescent="0.2">
      <c r="A510" s="76"/>
      <c r="B510" s="77"/>
      <c r="C510" s="78"/>
      <c r="D510" s="79"/>
      <c r="E510" s="99"/>
      <c r="F510" s="78"/>
      <c r="G510" s="80"/>
      <c r="H510" s="4"/>
      <c r="I510" s="76"/>
      <c r="J510" s="78"/>
      <c r="K510" s="78"/>
      <c r="L510" s="78"/>
      <c r="M510" s="78"/>
      <c r="N510" s="81"/>
      <c r="O510" s="78"/>
      <c r="P510" s="82"/>
      <c r="Q510" s="4"/>
      <c r="R510" s="78"/>
      <c r="S510" s="83"/>
      <c r="T510" s="4"/>
      <c r="U510" s="77"/>
    </row>
    <row r="511" spans="1:21" ht="18.75" customHeight="1" x14ac:dyDescent="0.2">
      <c r="A511" s="76"/>
      <c r="B511" s="77"/>
      <c r="C511" s="78"/>
      <c r="D511" s="79"/>
      <c r="E511" s="99"/>
      <c r="F511" s="78"/>
      <c r="G511" s="80"/>
      <c r="H511" s="4"/>
      <c r="I511" s="76"/>
      <c r="J511" s="78"/>
      <c r="K511" s="78"/>
      <c r="L511" s="78"/>
      <c r="M511" s="78"/>
      <c r="N511" s="81"/>
      <c r="O511" s="78"/>
      <c r="P511" s="82"/>
      <c r="Q511" s="4"/>
      <c r="R511" s="78"/>
      <c r="S511" s="83"/>
      <c r="T511" s="4"/>
      <c r="U511" s="77"/>
    </row>
    <row r="512" spans="1:21" ht="18.75" customHeight="1" x14ac:dyDescent="0.2">
      <c r="A512" s="76"/>
      <c r="B512" s="77"/>
      <c r="C512" s="78"/>
      <c r="D512" s="79"/>
      <c r="E512" s="99"/>
      <c r="F512" s="78"/>
      <c r="G512" s="80"/>
      <c r="H512" s="4"/>
      <c r="I512" s="76"/>
      <c r="J512" s="78"/>
      <c r="K512" s="78"/>
      <c r="L512" s="78"/>
      <c r="M512" s="78"/>
      <c r="N512" s="81"/>
      <c r="O512" s="78"/>
      <c r="P512" s="82"/>
      <c r="Q512" s="4"/>
      <c r="R512" s="78"/>
      <c r="S512" s="83"/>
      <c r="T512" s="4"/>
      <c r="U512" s="77"/>
    </row>
    <row r="513" spans="1:21" ht="18.75" customHeight="1" x14ac:dyDescent="0.2">
      <c r="A513" s="76"/>
      <c r="B513" s="77"/>
      <c r="C513" s="78"/>
      <c r="D513" s="79"/>
      <c r="E513" s="99"/>
      <c r="F513" s="78"/>
      <c r="G513" s="80"/>
      <c r="H513" s="4"/>
      <c r="I513" s="76"/>
      <c r="J513" s="78"/>
      <c r="K513" s="78"/>
      <c r="L513" s="78"/>
      <c r="M513" s="78"/>
      <c r="N513" s="81"/>
      <c r="O513" s="78"/>
      <c r="P513" s="82"/>
      <c r="Q513" s="4"/>
      <c r="R513" s="78"/>
      <c r="S513" s="83"/>
      <c r="T513" s="4"/>
      <c r="U513" s="77"/>
    </row>
    <row r="514" spans="1:21" ht="18.75" customHeight="1" x14ac:dyDescent="0.2">
      <c r="A514" s="76"/>
      <c r="B514" s="77"/>
      <c r="C514" s="78"/>
      <c r="D514" s="79"/>
      <c r="E514" s="99"/>
      <c r="F514" s="78"/>
      <c r="G514" s="80"/>
      <c r="H514" s="4"/>
      <c r="I514" s="76"/>
      <c r="J514" s="78"/>
      <c r="K514" s="78"/>
      <c r="L514" s="78"/>
      <c r="M514" s="78"/>
      <c r="N514" s="81"/>
      <c r="O514" s="78"/>
      <c r="P514" s="82"/>
      <c r="Q514" s="4"/>
      <c r="R514" s="78"/>
      <c r="S514" s="83"/>
      <c r="T514" s="4"/>
      <c r="U514" s="77"/>
    </row>
    <row r="515" spans="1:21" ht="18.75" customHeight="1" x14ac:dyDescent="0.2">
      <c r="A515" s="76"/>
      <c r="B515" s="77"/>
      <c r="C515" s="78"/>
      <c r="D515" s="79"/>
      <c r="E515" s="99"/>
      <c r="F515" s="78"/>
      <c r="G515" s="80"/>
      <c r="H515" s="4"/>
      <c r="I515" s="76"/>
      <c r="J515" s="78"/>
      <c r="K515" s="78"/>
      <c r="L515" s="78"/>
      <c r="M515" s="78"/>
      <c r="N515" s="81"/>
      <c r="O515" s="78"/>
      <c r="P515" s="82"/>
      <c r="Q515" s="4"/>
      <c r="R515" s="78"/>
      <c r="S515" s="83"/>
      <c r="T515" s="4"/>
      <c r="U515" s="77"/>
    </row>
    <row r="516" spans="1:21" ht="18.75" customHeight="1" x14ac:dyDescent="0.2">
      <c r="A516" s="76"/>
      <c r="B516" s="77"/>
      <c r="C516" s="78"/>
      <c r="D516" s="79"/>
      <c r="E516" s="99"/>
      <c r="F516" s="78"/>
      <c r="G516" s="80"/>
      <c r="H516" s="4"/>
      <c r="I516" s="76"/>
      <c r="J516" s="78"/>
      <c r="K516" s="78"/>
      <c r="L516" s="78"/>
      <c r="M516" s="78"/>
      <c r="N516" s="81"/>
      <c r="O516" s="78"/>
      <c r="P516" s="82"/>
      <c r="Q516" s="4"/>
      <c r="R516" s="78"/>
      <c r="S516" s="83"/>
      <c r="T516" s="4"/>
      <c r="U516" s="77"/>
    </row>
    <row r="517" spans="1:21" ht="18.75" customHeight="1" x14ac:dyDescent="0.2">
      <c r="A517" s="76"/>
      <c r="B517" s="77"/>
      <c r="C517" s="78"/>
      <c r="D517" s="79"/>
      <c r="E517" s="99"/>
      <c r="F517" s="78"/>
      <c r="G517" s="80"/>
      <c r="H517" s="4"/>
      <c r="I517" s="76"/>
      <c r="J517" s="78"/>
      <c r="K517" s="78"/>
      <c r="L517" s="78"/>
      <c r="M517" s="78"/>
      <c r="N517" s="81"/>
      <c r="O517" s="78"/>
      <c r="P517" s="82"/>
      <c r="Q517" s="4"/>
      <c r="R517" s="78"/>
      <c r="S517" s="83"/>
      <c r="T517" s="4"/>
      <c r="U517" s="77"/>
    </row>
    <row r="518" spans="1:21" ht="18.75" customHeight="1" x14ac:dyDescent="0.2">
      <c r="A518" s="76"/>
      <c r="B518" s="77"/>
      <c r="C518" s="78"/>
      <c r="D518" s="79"/>
      <c r="E518" s="99"/>
      <c r="F518" s="78"/>
      <c r="G518" s="80"/>
      <c r="H518" s="4"/>
      <c r="I518" s="76"/>
      <c r="J518" s="78"/>
      <c r="K518" s="78"/>
      <c r="L518" s="78"/>
      <c r="M518" s="78"/>
      <c r="N518" s="81"/>
      <c r="O518" s="78"/>
      <c r="P518" s="82"/>
      <c r="Q518" s="4"/>
      <c r="R518" s="78"/>
      <c r="S518" s="83"/>
      <c r="T518" s="4"/>
      <c r="U518" s="77"/>
    </row>
    <row r="519" spans="1:21" ht="18.75" customHeight="1" x14ac:dyDescent="0.2">
      <c r="A519" s="76"/>
      <c r="B519" s="77"/>
      <c r="C519" s="78"/>
      <c r="D519" s="79"/>
      <c r="E519" s="99"/>
      <c r="F519" s="78"/>
      <c r="G519" s="80"/>
      <c r="H519" s="4"/>
      <c r="I519" s="76"/>
      <c r="J519" s="78"/>
      <c r="K519" s="78"/>
      <c r="L519" s="78"/>
      <c r="M519" s="78"/>
      <c r="N519" s="81"/>
      <c r="O519" s="78"/>
      <c r="P519" s="82"/>
      <c r="Q519" s="4"/>
      <c r="R519" s="78"/>
      <c r="S519" s="83"/>
      <c r="T519" s="4"/>
      <c r="U519" s="77"/>
    </row>
    <row r="520" spans="1:21" ht="18.75" customHeight="1" x14ac:dyDescent="0.2">
      <c r="A520" s="76"/>
      <c r="B520" s="77"/>
      <c r="C520" s="78"/>
      <c r="D520" s="79"/>
      <c r="E520" s="99"/>
      <c r="F520" s="78"/>
      <c r="G520" s="80"/>
      <c r="H520" s="4"/>
      <c r="I520" s="76"/>
      <c r="J520" s="78"/>
      <c r="K520" s="78"/>
      <c r="L520" s="78"/>
      <c r="M520" s="78"/>
      <c r="N520" s="81"/>
      <c r="O520" s="78"/>
      <c r="P520" s="82"/>
      <c r="Q520" s="4"/>
      <c r="R520" s="78"/>
      <c r="S520" s="83"/>
      <c r="T520" s="4"/>
      <c r="U520" s="77"/>
    </row>
    <row r="521" spans="1:21" ht="18.75" customHeight="1" x14ac:dyDescent="0.2">
      <c r="A521" s="76"/>
      <c r="B521" s="77"/>
      <c r="C521" s="78"/>
      <c r="D521" s="79"/>
      <c r="E521" s="99"/>
      <c r="F521" s="78"/>
      <c r="G521" s="80"/>
      <c r="H521" s="4"/>
      <c r="I521" s="76"/>
      <c r="J521" s="78"/>
      <c r="K521" s="78"/>
      <c r="L521" s="78"/>
      <c r="M521" s="78"/>
      <c r="N521" s="81"/>
      <c r="O521" s="78"/>
      <c r="P521" s="82"/>
      <c r="Q521" s="4"/>
      <c r="R521" s="78"/>
      <c r="S521" s="83"/>
      <c r="T521" s="4"/>
      <c r="U521" s="77"/>
    </row>
    <row r="522" spans="1:21" ht="18.75" customHeight="1" x14ac:dyDescent="0.2">
      <c r="A522" s="76"/>
      <c r="B522" s="77"/>
      <c r="C522" s="78"/>
      <c r="D522" s="79"/>
      <c r="E522" s="99"/>
      <c r="F522" s="78"/>
      <c r="G522" s="80"/>
      <c r="H522" s="4"/>
      <c r="I522" s="76"/>
      <c r="J522" s="78"/>
      <c r="K522" s="78"/>
      <c r="L522" s="78"/>
      <c r="M522" s="78"/>
      <c r="N522" s="81"/>
      <c r="O522" s="78"/>
      <c r="P522" s="82"/>
      <c r="Q522" s="4"/>
      <c r="R522" s="78"/>
      <c r="S522" s="83"/>
      <c r="T522" s="4"/>
      <c r="U522" s="77"/>
    </row>
    <row r="523" spans="1:21" ht="18.75" customHeight="1" x14ac:dyDescent="0.2">
      <c r="A523" s="76"/>
      <c r="B523" s="77"/>
      <c r="C523" s="78"/>
      <c r="D523" s="79"/>
      <c r="E523" s="99"/>
      <c r="F523" s="78"/>
      <c r="G523" s="80"/>
      <c r="H523" s="4"/>
      <c r="I523" s="76"/>
      <c r="J523" s="78"/>
      <c r="K523" s="78"/>
      <c r="L523" s="78"/>
      <c r="M523" s="78"/>
      <c r="N523" s="81"/>
      <c r="O523" s="78"/>
      <c r="P523" s="82"/>
      <c r="Q523" s="4"/>
      <c r="R523" s="78"/>
      <c r="S523" s="83"/>
      <c r="T523" s="4"/>
      <c r="U523" s="77"/>
    </row>
    <row r="524" spans="1:21" ht="18.75" customHeight="1" x14ac:dyDescent="0.2">
      <c r="A524" s="76"/>
      <c r="B524" s="77"/>
      <c r="C524" s="78"/>
      <c r="D524" s="79"/>
      <c r="E524" s="99"/>
      <c r="F524" s="78"/>
      <c r="G524" s="80"/>
      <c r="H524" s="4"/>
      <c r="I524" s="76"/>
      <c r="J524" s="78"/>
      <c r="K524" s="78"/>
      <c r="L524" s="78"/>
      <c r="M524" s="78"/>
      <c r="N524" s="81"/>
      <c r="O524" s="78"/>
      <c r="P524" s="82"/>
      <c r="Q524" s="4"/>
      <c r="R524" s="78"/>
      <c r="S524" s="83"/>
      <c r="T524" s="4"/>
      <c r="U524" s="77"/>
    </row>
    <row r="525" spans="1:21" ht="18.75" customHeight="1" x14ac:dyDescent="0.2">
      <c r="A525" s="76"/>
      <c r="B525" s="77"/>
      <c r="C525" s="78"/>
      <c r="D525" s="79"/>
      <c r="E525" s="99"/>
      <c r="F525" s="78"/>
      <c r="G525" s="80"/>
      <c r="H525" s="4"/>
      <c r="I525" s="76"/>
      <c r="J525" s="78"/>
      <c r="K525" s="78"/>
      <c r="L525" s="78"/>
      <c r="M525" s="78"/>
      <c r="N525" s="81"/>
      <c r="O525" s="78"/>
      <c r="P525" s="82"/>
      <c r="Q525" s="4"/>
      <c r="R525" s="78"/>
      <c r="S525" s="83"/>
      <c r="T525" s="4"/>
      <c r="U525" s="77"/>
    </row>
    <row r="526" spans="1:21" ht="18.75" customHeight="1" x14ac:dyDescent="0.2">
      <c r="A526" s="76"/>
      <c r="B526" s="77"/>
      <c r="C526" s="78"/>
      <c r="D526" s="79"/>
      <c r="E526" s="99"/>
      <c r="F526" s="78"/>
      <c r="G526" s="80"/>
      <c r="H526" s="4"/>
      <c r="I526" s="76"/>
      <c r="J526" s="78"/>
      <c r="K526" s="78"/>
      <c r="L526" s="78"/>
      <c r="M526" s="78"/>
      <c r="N526" s="81"/>
      <c r="O526" s="78"/>
      <c r="P526" s="82"/>
      <c r="Q526" s="4"/>
      <c r="R526" s="78"/>
      <c r="S526" s="83"/>
      <c r="T526" s="4"/>
      <c r="U526" s="77"/>
    </row>
    <row r="527" spans="1:21" ht="18.75" customHeight="1" x14ac:dyDescent="0.2">
      <c r="A527" s="76"/>
      <c r="B527" s="77"/>
      <c r="C527" s="78"/>
      <c r="D527" s="79"/>
      <c r="E527" s="99"/>
      <c r="F527" s="78"/>
      <c r="G527" s="80"/>
      <c r="H527" s="4"/>
      <c r="I527" s="76"/>
      <c r="J527" s="78"/>
      <c r="K527" s="78"/>
      <c r="L527" s="78"/>
      <c r="M527" s="78"/>
      <c r="N527" s="81"/>
      <c r="O527" s="78"/>
      <c r="P527" s="82"/>
      <c r="Q527" s="4"/>
      <c r="R527" s="78"/>
      <c r="S527" s="83"/>
      <c r="T527" s="4"/>
      <c r="U527" s="77"/>
    </row>
    <row r="528" spans="1:21" ht="18.75" customHeight="1" x14ac:dyDescent="0.2">
      <c r="A528" s="76"/>
      <c r="B528" s="77"/>
      <c r="C528" s="78"/>
      <c r="D528" s="79"/>
      <c r="E528" s="99"/>
      <c r="F528" s="78"/>
      <c r="G528" s="80"/>
      <c r="H528" s="4"/>
      <c r="I528" s="76"/>
      <c r="J528" s="78"/>
      <c r="K528" s="78"/>
      <c r="L528" s="78"/>
      <c r="M528" s="78"/>
      <c r="N528" s="81"/>
      <c r="O528" s="78"/>
      <c r="P528" s="82"/>
      <c r="Q528" s="4"/>
      <c r="R528" s="78"/>
      <c r="S528" s="83"/>
      <c r="T528" s="4"/>
      <c r="U528" s="77"/>
    </row>
    <row r="529" spans="1:21" ht="18.75" customHeight="1" x14ac:dyDescent="0.2">
      <c r="A529" s="76"/>
      <c r="B529" s="77"/>
      <c r="C529" s="78"/>
      <c r="D529" s="79"/>
      <c r="E529" s="99"/>
      <c r="F529" s="78"/>
      <c r="G529" s="80"/>
      <c r="H529" s="4"/>
      <c r="I529" s="76"/>
      <c r="J529" s="78"/>
      <c r="K529" s="78"/>
      <c r="L529" s="78"/>
      <c r="M529" s="78"/>
      <c r="N529" s="81"/>
      <c r="O529" s="78"/>
      <c r="P529" s="82"/>
      <c r="Q529" s="4"/>
      <c r="R529" s="78"/>
      <c r="S529" s="83"/>
      <c r="T529" s="4"/>
      <c r="U529" s="77"/>
    </row>
    <row r="530" spans="1:21" ht="18.75" customHeight="1" x14ac:dyDescent="0.2">
      <c r="A530" s="76"/>
      <c r="B530" s="77"/>
      <c r="C530" s="78"/>
      <c r="D530" s="79"/>
      <c r="E530" s="99"/>
      <c r="F530" s="78"/>
      <c r="G530" s="80"/>
      <c r="H530" s="4"/>
      <c r="I530" s="76"/>
      <c r="J530" s="78"/>
      <c r="K530" s="78"/>
      <c r="L530" s="78"/>
      <c r="M530" s="78"/>
      <c r="N530" s="81"/>
      <c r="O530" s="78"/>
      <c r="P530" s="82"/>
      <c r="Q530" s="4"/>
      <c r="R530" s="78"/>
      <c r="S530" s="83"/>
      <c r="T530" s="4"/>
      <c r="U530" s="77"/>
    </row>
    <row r="531" spans="1:21" ht="18.75" customHeight="1" x14ac:dyDescent="0.2">
      <c r="A531" s="76"/>
      <c r="B531" s="77"/>
      <c r="C531" s="78"/>
      <c r="D531" s="79"/>
      <c r="E531" s="99"/>
      <c r="F531" s="78"/>
      <c r="G531" s="80"/>
      <c r="H531" s="4"/>
      <c r="I531" s="76"/>
      <c r="J531" s="78"/>
      <c r="K531" s="78"/>
      <c r="L531" s="78"/>
      <c r="M531" s="78"/>
      <c r="N531" s="81"/>
      <c r="O531" s="78"/>
      <c r="P531" s="82"/>
      <c r="Q531" s="4"/>
      <c r="R531" s="78"/>
      <c r="S531" s="83"/>
      <c r="T531" s="4"/>
      <c r="U531" s="77"/>
    </row>
    <row r="532" spans="1:21" ht="18.75" customHeight="1" x14ac:dyDescent="0.2">
      <c r="A532" s="76"/>
      <c r="B532" s="77"/>
      <c r="C532" s="78"/>
      <c r="D532" s="79"/>
      <c r="E532" s="99"/>
      <c r="F532" s="78"/>
      <c r="G532" s="80"/>
      <c r="H532" s="4"/>
      <c r="I532" s="76"/>
      <c r="J532" s="78"/>
      <c r="K532" s="78"/>
      <c r="L532" s="78"/>
      <c r="M532" s="78"/>
      <c r="N532" s="81"/>
      <c r="O532" s="78"/>
      <c r="P532" s="82"/>
      <c r="Q532" s="4"/>
      <c r="R532" s="78"/>
      <c r="S532" s="83"/>
      <c r="T532" s="4"/>
      <c r="U532" s="77"/>
    </row>
    <row r="533" spans="1:21" ht="18.75" customHeight="1" x14ac:dyDescent="0.2">
      <c r="A533" s="76"/>
      <c r="B533" s="77"/>
      <c r="C533" s="78"/>
      <c r="D533" s="79"/>
      <c r="E533" s="99"/>
      <c r="F533" s="78"/>
      <c r="G533" s="80"/>
      <c r="H533" s="4"/>
      <c r="I533" s="76"/>
      <c r="J533" s="78"/>
      <c r="K533" s="78"/>
      <c r="L533" s="78"/>
      <c r="M533" s="78"/>
      <c r="N533" s="81"/>
      <c r="O533" s="78"/>
      <c r="P533" s="82"/>
      <c r="Q533" s="4"/>
      <c r="R533" s="78"/>
      <c r="S533" s="83"/>
      <c r="T533" s="4"/>
      <c r="U533" s="77"/>
    </row>
    <row r="534" spans="1:21" ht="18.75" customHeight="1" x14ac:dyDescent="0.2">
      <c r="A534" s="76"/>
      <c r="B534" s="77"/>
      <c r="C534" s="78"/>
      <c r="D534" s="79"/>
      <c r="E534" s="99"/>
      <c r="F534" s="78"/>
      <c r="G534" s="80"/>
      <c r="H534" s="4"/>
      <c r="I534" s="76"/>
      <c r="J534" s="78"/>
      <c r="K534" s="78"/>
      <c r="L534" s="78"/>
      <c r="M534" s="78"/>
      <c r="N534" s="81"/>
      <c r="O534" s="78"/>
      <c r="P534" s="82"/>
      <c r="Q534" s="4"/>
      <c r="R534" s="78"/>
      <c r="S534" s="83"/>
      <c r="T534" s="4"/>
      <c r="U534" s="77"/>
    </row>
    <row r="535" spans="1:21" ht="18.75" customHeight="1" x14ac:dyDescent="0.2">
      <c r="A535" s="76"/>
      <c r="B535" s="77"/>
      <c r="C535" s="78"/>
      <c r="D535" s="79"/>
      <c r="E535" s="99"/>
      <c r="F535" s="78"/>
      <c r="G535" s="80"/>
      <c r="H535" s="4"/>
      <c r="I535" s="76"/>
      <c r="J535" s="78"/>
      <c r="K535" s="78"/>
      <c r="L535" s="78"/>
      <c r="M535" s="78"/>
      <c r="N535" s="81"/>
      <c r="O535" s="78"/>
      <c r="P535" s="82"/>
      <c r="Q535" s="4"/>
      <c r="R535" s="78"/>
      <c r="S535" s="83"/>
      <c r="T535" s="4"/>
      <c r="U535" s="77"/>
    </row>
    <row r="536" spans="1:21" ht="18.75" customHeight="1" x14ac:dyDescent="0.2">
      <c r="A536" s="76"/>
      <c r="B536" s="77"/>
      <c r="C536" s="78"/>
      <c r="D536" s="79"/>
      <c r="E536" s="99"/>
      <c r="F536" s="78"/>
      <c r="G536" s="80"/>
      <c r="H536" s="4"/>
      <c r="I536" s="76"/>
      <c r="J536" s="78"/>
      <c r="K536" s="78"/>
      <c r="L536" s="78"/>
      <c r="M536" s="78"/>
      <c r="N536" s="81"/>
      <c r="O536" s="78"/>
      <c r="P536" s="82"/>
      <c r="Q536" s="4"/>
      <c r="R536" s="78"/>
      <c r="S536" s="83"/>
      <c r="T536" s="4"/>
      <c r="U536" s="77"/>
    </row>
    <row r="537" spans="1:21" ht="18.75" customHeight="1" x14ac:dyDescent="0.2">
      <c r="A537" s="76"/>
      <c r="B537" s="77"/>
      <c r="C537" s="78"/>
      <c r="D537" s="79"/>
      <c r="E537" s="99"/>
      <c r="F537" s="78"/>
      <c r="G537" s="80"/>
      <c r="H537" s="4"/>
      <c r="I537" s="76"/>
      <c r="J537" s="78"/>
      <c r="K537" s="78"/>
      <c r="L537" s="78"/>
      <c r="M537" s="78"/>
      <c r="N537" s="81"/>
      <c r="O537" s="78"/>
      <c r="P537" s="82"/>
      <c r="Q537" s="4"/>
      <c r="R537" s="78"/>
      <c r="S537" s="83"/>
      <c r="T537" s="4"/>
      <c r="U537" s="77"/>
    </row>
    <row r="538" spans="1:21" ht="18.75" customHeight="1" x14ac:dyDescent="0.2">
      <c r="A538" s="76"/>
      <c r="B538" s="77"/>
      <c r="C538" s="78"/>
      <c r="D538" s="79"/>
      <c r="E538" s="99"/>
      <c r="F538" s="78"/>
      <c r="G538" s="80"/>
      <c r="H538" s="4"/>
      <c r="I538" s="76"/>
      <c r="J538" s="78"/>
      <c r="K538" s="78"/>
      <c r="L538" s="78"/>
      <c r="M538" s="78"/>
      <c r="N538" s="81"/>
      <c r="O538" s="78"/>
      <c r="P538" s="82"/>
      <c r="Q538" s="4"/>
      <c r="R538" s="78"/>
      <c r="S538" s="83"/>
      <c r="T538" s="4"/>
      <c r="U538" s="77"/>
    </row>
    <row r="539" spans="1:21" ht="18.75" customHeight="1" x14ac:dyDescent="0.2">
      <c r="A539" s="76"/>
      <c r="B539" s="77"/>
      <c r="C539" s="78"/>
      <c r="D539" s="79"/>
      <c r="E539" s="99"/>
      <c r="F539" s="78"/>
      <c r="G539" s="80"/>
      <c r="H539" s="4"/>
      <c r="I539" s="76"/>
      <c r="J539" s="78"/>
      <c r="K539" s="78"/>
      <c r="L539" s="78"/>
      <c r="M539" s="78"/>
      <c r="N539" s="81"/>
      <c r="O539" s="78"/>
      <c r="P539" s="82"/>
      <c r="Q539" s="4"/>
      <c r="R539" s="78"/>
      <c r="S539" s="83"/>
      <c r="T539" s="4"/>
      <c r="U539" s="77"/>
    </row>
    <row r="540" spans="1:21" ht="18.75" customHeight="1" x14ac:dyDescent="0.2">
      <c r="A540" s="76"/>
      <c r="B540" s="77"/>
      <c r="C540" s="78"/>
      <c r="D540" s="79"/>
      <c r="E540" s="99"/>
      <c r="F540" s="78"/>
      <c r="G540" s="80"/>
      <c r="H540" s="4"/>
      <c r="I540" s="76"/>
      <c r="J540" s="78"/>
      <c r="K540" s="78"/>
      <c r="L540" s="78"/>
      <c r="M540" s="78"/>
      <c r="N540" s="81"/>
      <c r="O540" s="78"/>
      <c r="P540" s="82"/>
      <c r="Q540" s="4"/>
      <c r="R540" s="78"/>
      <c r="S540" s="83"/>
      <c r="T540" s="4"/>
      <c r="U540" s="77"/>
    </row>
    <row r="541" spans="1:21" ht="18.75" customHeight="1" x14ac:dyDescent="0.2">
      <c r="A541" s="76"/>
      <c r="B541" s="77"/>
      <c r="C541" s="78"/>
      <c r="D541" s="79"/>
      <c r="E541" s="99"/>
      <c r="F541" s="78"/>
      <c r="G541" s="80"/>
      <c r="H541" s="4"/>
      <c r="I541" s="76"/>
      <c r="J541" s="78"/>
      <c r="K541" s="78"/>
      <c r="L541" s="78"/>
      <c r="M541" s="78"/>
      <c r="N541" s="81"/>
      <c r="O541" s="78"/>
      <c r="P541" s="82"/>
      <c r="Q541" s="4"/>
      <c r="R541" s="78"/>
      <c r="S541" s="83"/>
      <c r="T541" s="4"/>
      <c r="U541" s="77"/>
    </row>
    <row r="542" spans="1:21" ht="18.75" customHeight="1" x14ac:dyDescent="0.2">
      <c r="A542" s="76"/>
      <c r="B542" s="77"/>
      <c r="C542" s="78"/>
      <c r="D542" s="79"/>
      <c r="E542" s="99"/>
      <c r="F542" s="78"/>
      <c r="G542" s="80"/>
      <c r="H542" s="4"/>
      <c r="I542" s="76"/>
      <c r="J542" s="78"/>
      <c r="K542" s="78"/>
      <c r="L542" s="78"/>
      <c r="M542" s="78"/>
      <c r="N542" s="81"/>
      <c r="O542" s="78"/>
      <c r="P542" s="82"/>
      <c r="Q542" s="4"/>
      <c r="R542" s="78"/>
      <c r="S542" s="83"/>
      <c r="T542" s="4"/>
      <c r="U542" s="77"/>
    </row>
    <row r="543" spans="1:21" ht="18.75" customHeight="1" x14ac:dyDescent="0.2">
      <c r="A543" s="76"/>
      <c r="B543" s="77"/>
      <c r="C543" s="78"/>
      <c r="D543" s="79"/>
      <c r="E543" s="99"/>
      <c r="F543" s="78"/>
      <c r="G543" s="80"/>
      <c r="H543" s="4"/>
      <c r="I543" s="76"/>
      <c r="J543" s="78"/>
      <c r="K543" s="78"/>
      <c r="L543" s="78"/>
      <c r="M543" s="78"/>
      <c r="N543" s="81"/>
      <c r="O543" s="78"/>
      <c r="P543" s="82"/>
      <c r="Q543" s="4"/>
      <c r="R543" s="78"/>
      <c r="S543" s="83"/>
      <c r="T543" s="4"/>
      <c r="U543" s="77"/>
    </row>
    <row r="544" spans="1:21" ht="18.75" customHeight="1" x14ac:dyDescent="0.2">
      <c r="A544" s="76"/>
      <c r="B544" s="77"/>
      <c r="C544" s="78"/>
      <c r="D544" s="79"/>
      <c r="E544" s="99"/>
      <c r="F544" s="78"/>
      <c r="G544" s="80"/>
      <c r="H544" s="4"/>
      <c r="I544" s="76"/>
      <c r="J544" s="78"/>
      <c r="K544" s="78"/>
      <c r="L544" s="78"/>
      <c r="M544" s="78"/>
      <c r="N544" s="81"/>
      <c r="O544" s="78"/>
      <c r="P544" s="82"/>
      <c r="Q544" s="4"/>
      <c r="R544" s="78"/>
      <c r="S544" s="83"/>
      <c r="T544" s="4"/>
      <c r="U544" s="77"/>
    </row>
    <row r="545" spans="1:21" ht="18.75" customHeight="1" x14ac:dyDescent="0.2">
      <c r="A545" s="76"/>
      <c r="B545" s="77"/>
      <c r="C545" s="78"/>
      <c r="D545" s="79"/>
      <c r="E545" s="99"/>
      <c r="F545" s="78"/>
      <c r="G545" s="80"/>
      <c r="H545" s="4"/>
      <c r="I545" s="76"/>
      <c r="J545" s="78"/>
      <c r="K545" s="78"/>
      <c r="L545" s="78"/>
      <c r="M545" s="78"/>
      <c r="N545" s="81"/>
      <c r="O545" s="78"/>
      <c r="P545" s="82"/>
      <c r="Q545" s="4"/>
      <c r="R545" s="78"/>
      <c r="S545" s="83"/>
      <c r="T545" s="4"/>
      <c r="U545" s="77"/>
    </row>
    <row r="546" spans="1:21" ht="18.75" customHeight="1" x14ac:dyDescent="0.2">
      <c r="A546" s="76"/>
      <c r="B546" s="77"/>
      <c r="C546" s="78"/>
      <c r="D546" s="79"/>
      <c r="E546" s="99"/>
      <c r="F546" s="78"/>
      <c r="G546" s="80"/>
      <c r="H546" s="4"/>
      <c r="I546" s="76"/>
      <c r="J546" s="78"/>
      <c r="K546" s="78"/>
      <c r="L546" s="78"/>
      <c r="M546" s="78"/>
      <c r="N546" s="81"/>
      <c r="O546" s="78"/>
      <c r="P546" s="82"/>
      <c r="Q546" s="4"/>
      <c r="R546" s="78"/>
      <c r="S546" s="83"/>
      <c r="T546" s="4"/>
      <c r="U546" s="77"/>
    </row>
    <row r="547" spans="1:21" ht="18.75" customHeight="1" x14ac:dyDescent="0.2">
      <c r="A547" s="76"/>
      <c r="B547" s="77"/>
      <c r="C547" s="78"/>
      <c r="D547" s="79"/>
      <c r="E547" s="99"/>
      <c r="F547" s="78"/>
      <c r="G547" s="80"/>
      <c r="H547" s="4"/>
      <c r="I547" s="76"/>
      <c r="J547" s="78"/>
      <c r="K547" s="78"/>
      <c r="L547" s="78"/>
      <c r="M547" s="78"/>
      <c r="N547" s="81"/>
      <c r="O547" s="78"/>
      <c r="P547" s="82"/>
      <c r="Q547" s="4"/>
      <c r="R547" s="78"/>
      <c r="S547" s="83"/>
      <c r="T547" s="4"/>
      <c r="U547" s="77"/>
    </row>
    <row r="548" spans="1:21" ht="18.75" customHeight="1" x14ac:dyDescent="0.2">
      <c r="A548" s="76"/>
      <c r="B548" s="77"/>
      <c r="C548" s="78"/>
      <c r="D548" s="79"/>
      <c r="E548" s="99"/>
      <c r="F548" s="78"/>
      <c r="G548" s="80"/>
      <c r="H548" s="4"/>
      <c r="I548" s="76"/>
      <c r="J548" s="78"/>
      <c r="K548" s="78"/>
      <c r="L548" s="78"/>
      <c r="M548" s="78"/>
      <c r="N548" s="81"/>
      <c r="O548" s="78"/>
      <c r="P548" s="82"/>
      <c r="Q548" s="4"/>
      <c r="R548" s="78"/>
      <c r="S548" s="83"/>
      <c r="T548" s="4"/>
      <c r="U548" s="77"/>
    </row>
    <row r="549" spans="1:21" ht="18.75" customHeight="1" x14ac:dyDescent="0.2">
      <c r="A549" s="76"/>
      <c r="B549" s="77"/>
      <c r="C549" s="78"/>
      <c r="D549" s="79"/>
      <c r="E549" s="99"/>
      <c r="F549" s="78"/>
      <c r="G549" s="80"/>
      <c r="H549" s="4"/>
      <c r="I549" s="76"/>
      <c r="J549" s="78"/>
      <c r="K549" s="78"/>
      <c r="L549" s="78"/>
      <c r="M549" s="78"/>
      <c r="N549" s="81"/>
      <c r="O549" s="78"/>
      <c r="P549" s="82"/>
      <c r="Q549" s="4"/>
      <c r="R549" s="78"/>
      <c r="S549" s="83"/>
      <c r="T549" s="4"/>
      <c r="U549" s="77"/>
    </row>
    <row r="550" spans="1:21" ht="18.75" customHeight="1" x14ac:dyDescent="0.2">
      <c r="A550" s="76"/>
      <c r="B550" s="77"/>
      <c r="C550" s="78"/>
      <c r="D550" s="79"/>
      <c r="E550" s="99"/>
      <c r="F550" s="78"/>
      <c r="G550" s="80"/>
      <c r="H550" s="4"/>
      <c r="I550" s="76"/>
      <c r="J550" s="78"/>
      <c r="K550" s="78"/>
      <c r="L550" s="78"/>
      <c r="M550" s="78"/>
      <c r="N550" s="81"/>
      <c r="O550" s="78"/>
      <c r="P550" s="82"/>
      <c r="Q550" s="4"/>
      <c r="R550" s="78"/>
      <c r="S550" s="83"/>
      <c r="T550" s="4"/>
      <c r="U550" s="77"/>
    </row>
    <row r="551" spans="1:21" ht="18.75" customHeight="1" x14ac:dyDescent="0.2">
      <c r="A551" s="76"/>
      <c r="B551" s="77"/>
      <c r="C551" s="78"/>
      <c r="D551" s="79"/>
      <c r="E551" s="99"/>
      <c r="F551" s="78"/>
      <c r="G551" s="80"/>
      <c r="H551" s="4"/>
      <c r="I551" s="76"/>
      <c r="J551" s="78"/>
      <c r="K551" s="78"/>
      <c r="L551" s="78"/>
      <c r="M551" s="78"/>
      <c r="N551" s="81"/>
      <c r="O551" s="78"/>
      <c r="P551" s="82"/>
      <c r="Q551" s="4"/>
      <c r="R551" s="78"/>
      <c r="S551" s="83"/>
      <c r="T551" s="4"/>
      <c r="U551" s="77"/>
    </row>
    <row r="552" spans="1:21" ht="18.75" customHeight="1" x14ac:dyDescent="0.2">
      <c r="A552" s="76"/>
      <c r="B552" s="77"/>
      <c r="C552" s="78"/>
      <c r="D552" s="79"/>
      <c r="E552" s="99"/>
      <c r="F552" s="78"/>
      <c r="G552" s="80"/>
      <c r="H552" s="4"/>
      <c r="I552" s="76"/>
      <c r="J552" s="78"/>
      <c r="K552" s="78"/>
      <c r="L552" s="78"/>
      <c r="M552" s="78"/>
      <c r="N552" s="81"/>
      <c r="O552" s="78"/>
      <c r="P552" s="82"/>
      <c r="Q552" s="4"/>
      <c r="R552" s="78"/>
      <c r="S552" s="83"/>
      <c r="T552" s="4"/>
      <c r="U552" s="77"/>
    </row>
    <row r="553" spans="1:21" ht="18.75" customHeight="1" x14ac:dyDescent="0.2">
      <c r="A553" s="76"/>
      <c r="B553" s="77"/>
      <c r="C553" s="78"/>
      <c r="D553" s="79"/>
      <c r="E553" s="99"/>
      <c r="F553" s="78"/>
      <c r="G553" s="80"/>
      <c r="H553" s="4"/>
      <c r="I553" s="76"/>
      <c r="J553" s="78"/>
      <c r="K553" s="78"/>
      <c r="L553" s="78"/>
      <c r="M553" s="78"/>
      <c r="N553" s="81"/>
      <c r="O553" s="78"/>
      <c r="P553" s="82"/>
      <c r="Q553" s="4"/>
      <c r="R553" s="78"/>
      <c r="S553" s="83"/>
      <c r="T553" s="4"/>
      <c r="U553" s="77"/>
    </row>
    <row r="554" spans="1:21" ht="18.75" customHeight="1" x14ac:dyDescent="0.2">
      <c r="A554" s="76"/>
      <c r="B554" s="77"/>
      <c r="C554" s="78"/>
      <c r="D554" s="79"/>
      <c r="E554" s="99"/>
      <c r="F554" s="78"/>
      <c r="G554" s="80"/>
      <c r="H554" s="4"/>
      <c r="I554" s="76"/>
      <c r="J554" s="78"/>
      <c r="K554" s="78"/>
      <c r="L554" s="78"/>
      <c r="M554" s="78"/>
      <c r="N554" s="81"/>
      <c r="O554" s="78"/>
      <c r="P554" s="82"/>
      <c r="Q554" s="4"/>
      <c r="R554" s="78"/>
      <c r="S554" s="83"/>
      <c r="T554" s="4"/>
      <c r="U554" s="77"/>
    </row>
    <row r="555" spans="1:21" ht="18.75" customHeight="1" x14ac:dyDescent="0.2">
      <c r="A555" s="76"/>
      <c r="B555" s="77"/>
      <c r="C555" s="78"/>
      <c r="D555" s="79"/>
      <c r="E555" s="99"/>
      <c r="F555" s="78"/>
      <c r="G555" s="80"/>
      <c r="H555" s="4"/>
      <c r="I555" s="76"/>
      <c r="J555" s="78"/>
      <c r="K555" s="78"/>
      <c r="L555" s="78"/>
      <c r="M555" s="78"/>
      <c r="N555" s="81"/>
      <c r="O555" s="78"/>
      <c r="P555" s="82"/>
      <c r="Q555" s="4"/>
      <c r="R555" s="78"/>
      <c r="S555" s="83"/>
      <c r="T555" s="4"/>
      <c r="U555" s="77"/>
    </row>
    <row r="556" spans="1:21" ht="18.75" customHeight="1" x14ac:dyDescent="0.2">
      <c r="A556" s="76"/>
      <c r="B556" s="77"/>
      <c r="C556" s="78"/>
      <c r="D556" s="79"/>
      <c r="E556" s="99"/>
      <c r="F556" s="78"/>
      <c r="G556" s="80"/>
      <c r="H556" s="4"/>
      <c r="I556" s="76"/>
      <c r="J556" s="78"/>
      <c r="K556" s="78"/>
      <c r="L556" s="78"/>
      <c r="M556" s="78"/>
      <c r="N556" s="81"/>
      <c r="O556" s="78"/>
      <c r="P556" s="82"/>
      <c r="Q556" s="4"/>
      <c r="R556" s="78"/>
      <c r="S556" s="83"/>
      <c r="T556" s="4"/>
      <c r="U556" s="77"/>
    </row>
    <row r="557" spans="1:21" ht="18.75" customHeight="1" x14ac:dyDescent="0.2">
      <c r="A557" s="76"/>
      <c r="B557" s="77"/>
      <c r="C557" s="78"/>
      <c r="D557" s="79"/>
      <c r="E557" s="99"/>
      <c r="F557" s="78"/>
      <c r="G557" s="80"/>
      <c r="H557" s="4"/>
      <c r="I557" s="76"/>
      <c r="J557" s="78"/>
      <c r="K557" s="78"/>
      <c r="L557" s="78"/>
      <c r="M557" s="78"/>
      <c r="N557" s="81"/>
      <c r="O557" s="78"/>
      <c r="P557" s="82"/>
      <c r="Q557" s="4"/>
      <c r="R557" s="78"/>
      <c r="S557" s="83"/>
      <c r="T557" s="4"/>
      <c r="U557" s="77"/>
    </row>
    <row r="558" spans="1:21" ht="18.75" customHeight="1" x14ac:dyDescent="0.2">
      <c r="A558" s="76"/>
      <c r="B558" s="77"/>
      <c r="C558" s="78"/>
      <c r="D558" s="79"/>
      <c r="E558" s="99"/>
      <c r="F558" s="78"/>
      <c r="G558" s="80"/>
      <c r="H558" s="4"/>
      <c r="I558" s="76"/>
      <c r="J558" s="78"/>
      <c r="K558" s="78"/>
      <c r="L558" s="78"/>
      <c r="M558" s="78"/>
      <c r="N558" s="81"/>
      <c r="O558" s="78"/>
      <c r="P558" s="82"/>
      <c r="Q558" s="4"/>
      <c r="R558" s="78"/>
      <c r="S558" s="83"/>
      <c r="T558" s="4"/>
      <c r="U558" s="77"/>
    </row>
    <row r="559" spans="1:21" ht="18.75" customHeight="1" x14ac:dyDescent="0.2">
      <c r="A559" s="76"/>
      <c r="B559" s="77"/>
      <c r="C559" s="78"/>
      <c r="D559" s="79"/>
      <c r="E559" s="99"/>
      <c r="F559" s="78"/>
      <c r="G559" s="80"/>
      <c r="H559" s="4"/>
      <c r="I559" s="76"/>
      <c r="J559" s="78"/>
      <c r="K559" s="78"/>
      <c r="L559" s="78"/>
      <c r="M559" s="78"/>
      <c r="N559" s="81"/>
      <c r="O559" s="78"/>
      <c r="P559" s="82"/>
      <c r="Q559" s="4"/>
      <c r="R559" s="78"/>
      <c r="S559" s="83"/>
      <c r="T559" s="4"/>
      <c r="U559" s="77"/>
    </row>
    <row r="560" spans="1:21" ht="18.75" customHeight="1" x14ac:dyDescent="0.2">
      <c r="A560" s="76"/>
      <c r="B560" s="77"/>
      <c r="C560" s="78"/>
      <c r="D560" s="79"/>
      <c r="E560" s="99"/>
      <c r="F560" s="78"/>
      <c r="G560" s="80"/>
      <c r="H560" s="4"/>
      <c r="I560" s="76"/>
      <c r="J560" s="78"/>
      <c r="K560" s="78"/>
      <c r="L560" s="78"/>
      <c r="M560" s="78"/>
      <c r="N560" s="81"/>
      <c r="O560" s="78"/>
      <c r="P560" s="82"/>
      <c r="Q560" s="4"/>
      <c r="R560" s="78"/>
      <c r="S560" s="83"/>
      <c r="T560" s="4"/>
      <c r="U560" s="77"/>
    </row>
    <row r="561" spans="1:21" ht="18.75" customHeight="1" x14ac:dyDescent="0.2">
      <c r="A561" s="76"/>
      <c r="B561" s="77"/>
      <c r="C561" s="78"/>
      <c r="D561" s="79"/>
      <c r="E561" s="99"/>
      <c r="F561" s="78"/>
      <c r="G561" s="80"/>
      <c r="H561" s="4"/>
      <c r="I561" s="76"/>
      <c r="J561" s="78"/>
      <c r="K561" s="78"/>
      <c r="L561" s="78"/>
      <c r="M561" s="78"/>
      <c r="N561" s="81"/>
      <c r="O561" s="78"/>
      <c r="P561" s="82"/>
      <c r="Q561" s="4"/>
      <c r="R561" s="78"/>
      <c r="S561" s="83"/>
      <c r="T561" s="4"/>
      <c r="U561" s="77"/>
    </row>
    <row r="562" spans="1:21" ht="18.75" customHeight="1" x14ac:dyDescent="0.2">
      <c r="A562" s="76"/>
      <c r="B562" s="77"/>
      <c r="C562" s="78"/>
      <c r="D562" s="79"/>
      <c r="E562" s="99"/>
      <c r="F562" s="78"/>
      <c r="G562" s="80"/>
      <c r="H562" s="4"/>
      <c r="I562" s="76"/>
      <c r="J562" s="78"/>
      <c r="K562" s="78"/>
      <c r="L562" s="78"/>
      <c r="M562" s="78"/>
      <c r="N562" s="81"/>
      <c r="O562" s="78"/>
      <c r="P562" s="82"/>
      <c r="Q562" s="4"/>
      <c r="R562" s="78"/>
      <c r="S562" s="83"/>
      <c r="T562" s="4"/>
      <c r="U562" s="77"/>
    </row>
    <row r="563" spans="1:21" ht="18.75" customHeight="1" x14ac:dyDescent="0.2">
      <c r="A563" s="76"/>
      <c r="B563" s="77"/>
      <c r="C563" s="78"/>
      <c r="D563" s="79"/>
      <c r="E563" s="99"/>
      <c r="F563" s="78"/>
      <c r="G563" s="80"/>
      <c r="H563" s="4"/>
      <c r="I563" s="76"/>
      <c r="J563" s="78"/>
      <c r="K563" s="78"/>
      <c r="L563" s="78"/>
      <c r="M563" s="78"/>
      <c r="N563" s="81"/>
      <c r="O563" s="78"/>
      <c r="P563" s="82"/>
      <c r="Q563" s="4"/>
      <c r="R563" s="78"/>
      <c r="S563" s="83"/>
      <c r="T563" s="4"/>
      <c r="U563" s="77"/>
    </row>
    <row r="564" spans="1:21" ht="18.75" customHeight="1" x14ac:dyDescent="0.2">
      <c r="A564" s="76"/>
      <c r="B564" s="77"/>
      <c r="C564" s="78"/>
      <c r="D564" s="79"/>
      <c r="E564" s="99"/>
      <c r="F564" s="78"/>
      <c r="G564" s="80"/>
      <c r="H564" s="4"/>
      <c r="I564" s="76"/>
      <c r="J564" s="78"/>
      <c r="K564" s="78"/>
      <c r="L564" s="78"/>
      <c r="M564" s="78"/>
      <c r="N564" s="81"/>
      <c r="O564" s="78"/>
      <c r="P564" s="82"/>
      <c r="Q564" s="4"/>
      <c r="R564" s="78"/>
      <c r="S564" s="83"/>
      <c r="T564" s="4"/>
      <c r="U564" s="77"/>
    </row>
    <row r="565" spans="1:21" ht="18.75" customHeight="1" x14ac:dyDescent="0.2">
      <c r="A565" s="76"/>
      <c r="B565" s="77"/>
      <c r="C565" s="78"/>
      <c r="D565" s="79"/>
      <c r="E565" s="99"/>
      <c r="F565" s="78"/>
      <c r="G565" s="80"/>
      <c r="H565" s="4"/>
      <c r="I565" s="76"/>
      <c r="J565" s="78"/>
      <c r="K565" s="78"/>
      <c r="L565" s="78"/>
      <c r="M565" s="78"/>
      <c r="N565" s="81"/>
      <c r="O565" s="78"/>
      <c r="P565" s="82"/>
      <c r="Q565" s="4"/>
      <c r="R565" s="78"/>
      <c r="S565" s="83"/>
      <c r="T565" s="4"/>
      <c r="U565" s="77"/>
    </row>
    <row r="566" spans="1:21" ht="18.75" customHeight="1" x14ac:dyDescent="0.2">
      <c r="A566" s="76"/>
      <c r="B566" s="77"/>
      <c r="C566" s="78"/>
      <c r="D566" s="79"/>
      <c r="E566" s="99"/>
      <c r="F566" s="78"/>
      <c r="G566" s="80"/>
      <c r="H566" s="4"/>
      <c r="I566" s="76"/>
      <c r="J566" s="78"/>
      <c r="K566" s="78"/>
      <c r="L566" s="78"/>
      <c r="M566" s="78"/>
      <c r="N566" s="81"/>
      <c r="O566" s="78"/>
      <c r="P566" s="82"/>
      <c r="Q566" s="4"/>
      <c r="R566" s="78"/>
      <c r="S566" s="83"/>
      <c r="T566" s="4"/>
      <c r="U566" s="77"/>
    </row>
    <row r="567" spans="1:21" ht="18.75" customHeight="1" x14ac:dyDescent="0.2">
      <c r="A567" s="76"/>
      <c r="B567" s="77"/>
      <c r="C567" s="78"/>
      <c r="D567" s="79"/>
      <c r="E567" s="99"/>
      <c r="F567" s="78"/>
      <c r="G567" s="80"/>
      <c r="H567" s="4"/>
      <c r="I567" s="76"/>
      <c r="J567" s="78"/>
      <c r="K567" s="78"/>
      <c r="L567" s="78"/>
      <c r="M567" s="78"/>
      <c r="N567" s="81"/>
      <c r="O567" s="78"/>
      <c r="P567" s="82"/>
      <c r="Q567" s="4"/>
      <c r="R567" s="78"/>
      <c r="S567" s="83"/>
      <c r="T567" s="4"/>
      <c r="U567" s="77"/>
    </row>
    <row r="568" spans="1:21" ht="18.75" customHeight="1" x14ac:dyDescent="0.2">
      <c r="A568" s="76"/>
      <c r="B568" s="77"/>
      <c r="C568" s="78"/>
      <c r="D568" s="79"/>
      <c r="E568" s="99"/>
      <c r="F568" s="78"/>
      <c r="G568" s="80"/>
      <c r="H568" s="4"/>
      <c r="I568" s="76"/>
      <c r="J568" s="78"/>
      <c r="K568" s="78"/>
      <c r="L568" s="78"/>
      <c r="M568" s="78"/>
      <c r="N568" s="81"/>
      <c r="O568" s="78"/>
      <c r="P568" s="82"/>
      <c r="Q568" s="4"/>
      <c r="R568" s="78"/>
      <c r="S568" s="83"/>
      <c r="T568" s="4"/>
      <c r="U568" s="77"/>
    </row>
    <row r="569" spans="1:21" ht="18.75" customHeight="1" x14ac:dyDescent="0.2">
      <c r="A569" s="76"/>
      <c r="B569" s="77"/>
      <c r="C569" s="78"/>
      <c r="D569" s="79"/>
      <c r="E569" s="99"/>
      <c r="F569" s="78"/>
      <c r="G569" s="80"/>
      <c r="H569" s="4"/>
      <c r="I569" s="76"/>
      <c r="J569" s="78"/>
      <c r="K569" s="78"/>
      <c r="L569" s="78"/>
      <c r="M569" s="78"/>
      <c r="N569" s="81"/>
      <c r="O569" s="78"/>
      <c r="P569" s="82"/>
      <c r="Q569" s="4"/>
      <c r="R569" s="78"/>
      <c r="S569" s="83"/>
      <c r="T569" s="4"/>
      <c r="U569" s="77"/>
    </row>
    <row r="570" spans="1:21" ht="18.75" customHeight="1" x14ac:dyDescent="0.2">
      <c r="A570" s="76"/>
      <c r="B570" s="77"/>
      <c r="C570" s="78"/>
      <c r="D570" s="79"/>
      <c r="E570" s="99"/>
      <c r="F570" s="78"/>
      <c r="G570" s="80"/>
      <c r="H570" s="4"/>
      <c r="I570" s="76"/>
      <c r="J570" s="78"/>
      <c r="K570" s="78"/>
      <c r="L570" s="78"/>
      <c r="M570" s="78"/>
      <c r="N570" s="81"/>
      <c r="O570" s="78"/>
      <c r="P570" s="82"/>
      <c r="Q570" s="4"/>
      <c r="R570" s="78"/>
      <c r="S570" s="83"/>
      <c r="T570" s="4"/>
      <c r="U570" s="77"/>
    </row>
    <row r="571" spans="1:21" ht="18.75" customHeight="1" x14ac:dyDescent="0.2">
      <c r="A571" s="76"/>
      <c r="B571" s="77"/>
      <c r="C571" s="78"/>
      <c r="D571" s="79"/>
      <c r="E571" s="99"/>
      <c r="F571" s="78"/>
      <c r="G571" s="80"/>
      <c r="H571" s="4"/>
      <c r="I571" s="76"/>
      <c r="J571" s="78"/>
      <c r="K571" s="78"/>
      <c r="L571" s="78"/>
      <c r="M571" s="78"/>
      <c r="N571" s="81"/>
      <c r="O571" s="78"/>
      <c r="P571" s="82"/>
      <c r="Q571" s="4"/>
      <c r="R571" s="78"/>
      <c r="S571" s="83"/>
      <c r="T571" s="4"/>
      <c r="U571" s="77"/>
    </row>
    <row r="572" spans="1:21" ht="18.75" customHeight="1" x14ac:dyDescent="0.2">
      <c r="A572" s="76"/>
      <c r="B572" s="77"/>
      <c r="C572" s="78"/>
      <c r="D572" s="79"/>
      <c r="E572" s="99"/>
      <c r="F572" s="78"/>
      <c r="G572" s="80"/>
      <c r="H572" s="4"/>
      <c r="I572" s="76"/>
      <c r="J572" s="78"/>
      <c r="K572" s="78"/>
      <c r="L572" s="78"/>
      <c r="M572" s="78"/>
      <c r="N572" s="81"/>
      <c r="O572" s="78"/>
      <c r="P572" s="82"/>
      <c r="Q572" s="4"/>
      <c r="R572" s="78"/>
      <c r="S572" s="83"/>
      <c r="T572" s="4"/>
      <c r="U572" s="77"/>
    </row>
    <row r="573" spans="1:21" ht="18.75" customHeight="1" x14ac:dyDescent="0.2">
      <c r="A573" s="76"/>
      <c r="B573" s="77"/>
      <c r="C573" s="78"/>
      <c r="D573" s="79"/>
      <c r="E573" s="99"/>
      <c r="F573" s="78"/>
      <c r="G573" s="80"/>
      <c r="H573" s="4"/>
      <c r="I573" s="76"/>
      <c r="J573" s="78"/>
      <c r="K573" s="78"/>
      <c r="L573" s="78"/>
      <c r="M573" s="78"/>
      <c r="N573" s="81"/>
      <c r="O573" s="78"/>
      <c r="P573" s="82"/>
      <c r="Q573" s="4"/>
      <c r="R573" s="78"/>
      <c r="S573" s="83"/>
      <c r="T573" s="4"/>
      <c r="U573" s="77"/>
    </row>
    <row r="574" spans="1:21" ht="18.75" customHeight="1" x14ac:dyDescent="0.2">
      <c r="A574" s="76"/>
      <c r="B574" s="77"/>
      <c r="C574" s="78"/>
      <c r="D574" s="79"/>
      <c r="E574" s="99"/>
      <c r="F574" s="78"/>
      <c r="G574" s="80"/>
      <c r="H574" s="4"/>
      <c r="I574" s="76"/>
      <c r="J574" s="78"/>
      <c r="K574" s="78"/>
      <c r="L574" s="78"/>
      <c r="M574" s="78"/>
      <c r="N574" s="81"/>
      <c r="O574" s="78"/>
      <c r="P574" s="82"/>
      <c r="Q574" s="4"/>
      <c r="R574" s="78"/>
      <c r="S574" s="83"/>
      <c r="T574" s="4"/>
      <c r="U574" s="77"/>
    </row>
    <row r="575" spans="1:21" ht="18.75" customHeight="1" x14ac:dyDescent="0.2">
      <c r="A575" s="76"/>
      <c r="B575" s="77"/>
      <c r="C575" s="78"/>
      <c r="D575" s="79"/>
      <c r="E575" s="99"/>
      <c r="F575" s="78"/>
      <c r="G575" s="80"/>
      <c r="H575" s="4"/>
      <c r="I575" s="76"/>
      <c r="J575" s="78"/>
      <c r="K575" s="78"/>
      <c r="L575" s="78"/>
      <c r="M575" s="78"/>
      <c r="N575" s="81"/>
      <c r="O575" s="78"/>
      <c r="P575" s="82"/>
      <c r="Q575" s="4"/>
      <c r="R575" s="78"/>
      <c r="S575" s="83"/>
      <c r="T575" s="4"/>
      <c r="U575" s="77"/>
    </row>
    <row r="576" spans="1:21" ht="18.75" customHeight="1" x14ac:dyDescent="0.2">
      <c r="A576" s="76"/>
      <c r="B576" s="77"/>
      <c r="C576" s="78"/>
      <c r="D576" s="79"/>
      <c r="E576" s="99"/>
      <c r="F576" s="78"/>
      <c r="G576" s="80"/>
      <c r="H576" s="4"/>
      <c r="I576" s="76"/>
      <c r="J576" s="78"/>
      <c r="K576" s="78"/>
      <c r="L576" s="78"/>
      <c r="M576" s="78"/>
      <c r="N576" s="81"/>
      <c r="O576" s="78"/>
      <c r="P576" s="82"/>
      <c r="Q576" s="4"/>
      <c r="R576" s="78"/>
      <c r="S576" s="83"/>
      <c r="T576" s="4"/>
      <c r="U576" s="77"/>
    </row>
    <row r="577" spans="1:21" ht="18.75" customHeight="1" x14ac:dyDescent="0.2">
      <c r="A577" s="76"/>
      <c r="B577" s="77"/>
      <c r="C577" s="78"/>
      <c r="D577" s="79"/>
      <c r="E577" s="99"/>
      <c r="F577" s="78"/>
      <c r="G577" s="80"/>
      <c r="H577" s="4"/>
      <c r="I577" s="76"/>
      <c r="J577" s="78"/>
      <c r="K577" s="78"/>
      <c r="L577" s="78"/>
      <c r="M577" s="78"/>
      <c r="N577" s="81"/>
      <c r="O577" s="78"/>
      <c r="P577" s="82"/>
      <c r="Q577" s="4"/>
      <c r="R577" s="78"/>
      <c r="S577" s="83"/>
      <c r="T577" s="4"/>
      <c r="U577" s="77"/>
    </row>
    <row r="578" spans="1:21" ht="18.75" customHeight="1" x14ac:dyDescent="0.2">
      <c r="A578" s="76"/>
      <c r="B578" s="77"/>
      <c r="C578" s="78"/>
      <c r="D578" s="79"/>
      <c r="E578" s="99"/>
      <c r="F578" s="78"/>
      <c r="G578" s="80"/>
      <c r="H578" s="4"/>
      <c r="I578" s="76"/>
      <c r="J578" s="78"/>
      <c r="K578" s="78"/>
      <c r="L578" s="78"/>
      <c r="M578" s="78"/>
      <c r="N578" s="81"/>
      <c r="O578" s="78"/>
      <c r="P578" s="82"/>
      <c r="Q578" s="4"/>
      <c r="R578" s="78"/>
      <c r="S578" s="83"/>
      <c r="T578" s="4"/>
      <c r="U578" s="77"/>
    </row>
    <row r="579" spans="1:21" ht="18.75" customHeight="1" x14ac:dyDescent="0.2">
      <c r="A579" s="76"/>
      <c r="B579" s="77"/>
      <c r="C579" s="78"/>
      <c r="D579" s="79"/>
      <c r="E579" s="99"/>
      <c r="F579" s="78"/>
      <c r="G579" s="80"/>
      <c r="H579" s="4"/>
      <c r="I579" s="76"/>
      <c r="J579" s="78"/>
      <c r="K579" s="78"/>
      <c r="L579" s="78"/>
      <c r="M579" s="78"/>
      <c r="N579" s="81"/>
      <c r="O579" s="78"/>
      <c r="P579" s="82"/>
      <c r="Q579" s="4"/>
      <c r="R579" s="78"/>
      <c r="S579" s="83"/>
      <c r="T579" s="4"/>
      <c r="U579" s="77"/>
    </row>
    <row r="580" spans="1:21" ht="18.75" customHeight="1" x14ac:dyDescent="0.2">
      <c r="A580" s="76"/>
      <c r="B580" s="77"/>
      <c r="C580" s="78"/>
      <c r="D580" s="79"/>
      <c r="E580" s="99"/>
      <c r="F580" s="78"/>
      <c r="G580" s="80"/>
      <c r="H580" s="4"/>
      <c r="I580" s="76"/>
      <c r="J580" s="78"/>
      <c r="K580" s="78"/>
      <c r="L580" s="78"/>
      <c r="M580" s="78"/>
      <c r="N580" s="81"/>
      <c r="O580" s="78"/>
      <c r="P580" s="82"/>
      <c r="Q580" s="4"/>
      <c r="R580" s="78"/>
      <c r="S580" s="83"/>
      <c r="T580" s="4"/>
      <c r="U580" s="77"/>
    </row>
    <row r="581" spans="1:21" ht="18.75" customHeight="1" x14ac:dyDescent="0.2">
      <c r="A581" s="76"/>
      <c r="B581" s="77"/>
      <c r="C581" s="78"/>
      <c r="D581" s="79"/>
      <c r="E581" s="99"/>
      <c r="F581" s="78"/>
      <c r="G581" s="80"/>
      <c r="H581" s="4"/>
      <c r="I581" s="76"/>
      <c r="J581" s="78"/>
      <c r="K581" s="78"/>
      <c r="L581" s="78"/>
      <c r="M581" s="78"/>
      <c r="N581" s="81"/>
      <c r="O581" s="78"/>
      <c r="P581" s="82"/>
      <c r="Q581" s="4"/>
      <c r="R581" s="78"/>
      <c r="S581" s="83"/>
      <c r="T581" s="4"/>
      <c r="U581" s="77"/>
    </row>
    <row r="582" spans="1:21" ht="18.75" customHeight="1" x14ac:dyDescent="0.2">
      <c r="A582" s="76"/>
      <c r="B582" s="77"/>
      <c r="C582" s="78"/>
      <c r="D582" s="79"/>
      <c r="E582" s="99"/>
      <c r="F582" s="78"/>
      <c r="G582" s="80"/>
      <c r="H582" s="4"/>
      <c r="I582" s="76"/>
      <c r="J582" s="78"/>
      <c r="K582" s="78"/>
      <c r="L582" s="78"/>
      <c r="M582" s="78"/>
      <c r="N582" s="81"/>
      <c r="O582" s="78"/>
      <c r="P582" s="82"/>
      <c r="Q582" s="4"/>
      <c r="R582" s="78"/>
      <c r="S582" s="83"/>
      <c r="T582" s="4"/>
      <c r="U582" s="77"/>
    </row>
    <row r="583" spans="1:21" ht="18.75" customHeight="1" x14ac:dyDescent="0.2">
      <c r="A583" s="76"/>
      <c r="B583" s="77"/>
      <c r="C583" s="78"/>
      <c r="D583" s="79"/>
      <c r="E583" s="99"/>
      <c r="F583" s="78"/>
      <c r="G583" s="80"/>
      <c r="H583" s="4"/>
      <c r="I583" s="76"/>
      <c r="J583" s="78"/>
      <c r="K583" s="78"/>
      <c r="L583" s="78"/>
      <c r="M583" s="78"/>
      <c r="N583" s="81"/>
      <c r="O583" s="78"/>
      <c r="P583" s="82"/>
      <c r="Q583" s="4"/>
      <c r="R583" s="78"/>
      <c r="S583" s="83"/>
      <c r="T583" s="4"/>
      <c r="U583" s="77"/>
    </row>
    <row r="584" spans="1:21" ht="18.75" customHeight="1" x14ac:dyDescent="0.2">
      <c r="A584" s="76"/>
      <c r="B584" s="77"/>
      <c r="C584" s="78"/>
      <c r="D584" s="79"/>
      <c r="E584" s="99"/>
      <c r="F584" s="78"/>
      <c r="G584" s="80"/>
      <c r="H584" s="4"/>
      <c r="I584" s="76"/>
      <c r="J584" s="78"/>
      <c r="K584" s="78"/>
      <c r="L584" s="78"/>
      <c r="M584" s="78"/>
      <c r="N584" s="81"/>
      <c r="O584" s="78"/>
      <c r="P584" s="82"/>
      <c r="Q584" s="4"/>
      <c r="R584" s="78"/>
      <c r="S584" s="83"/>
      <c r="T584" s="4"/>
      <c r="U584" s="77"/>
    </row>
    <row r="585" spans="1:21" ht="18.75" customHeight="1" x14ac:dyDescent="0.2">
      <c r="A585" s="76"/>
      <c r="B585" s="77"/>
      <c r="C585" s="78"/>
      <c r="D585" s="79"/>
      <c r="E585" s="99"/>
      <c r="F585" s="78"/>
      <c r="G585" s="80"/>
      <c r="H585" s="4"/>
      <c r="I585" s="76"/>
      <c r="J585" s="78"/>
      <c r="K585" s="78"/>
      <c r="L585" s="78"/>
      <c r="M585" s="78"/>
      <c r="N585" s="81"/>
      <c r="O585" s="78"/>
      <c r="P585" s="82"/>
      <c r="Q585" s="4"/>
      <c r="R585" s="78"/>
      <c r="S585" s="83"/>
      <c r="T585" s="4"/>
      <c r="U585" s="77"/>
    </row>
    <row r="586" spans="1:21" ht="18.75" customHeight="1" x14ac:dyDescent="0.2">
      <c r="A586" s="76"/>
      <c r="B586" s="77"/>
      <c r="C586" s="78"/>
      <c r="D586" s="79"/>
      <c r="E586" s="99"/>
      <c r="F586" s="78"/>
      <c r="G586" s="80"/>
      <c r="H586" s="4"/>
      <c r="I586" s="76"/>
      <c r="J586" s="78"/>
      <c r="K586" s="78"/>
      <c r="L586" s="78"/>
      <c r="M586" s="78"/>
      <c r="N586" s="81"/>
      <c r="O586" s="78"/>
      <c r="P586" s="82"/>
      <c r="Q586" s="4"/>
      <c r="R586" s="78"/>
      <c r="S586" s="83"/>
      <c r="T586" s="4"/>
      <c r="U586" s="77"/>
    </row>
    <row r="587" spans="1:21" ht="18.75" customHeight="1" x14ac:dyDescent="0.2">
      <c r="A587" s="76"/>
      <c r="B587" s="77"/>
      <c r="C587" s="78"/>
      <c r="D587" s="79"/>
      <c r="E587" s="99"/>
      <c r="F587" s="78"/>
      <c r="G587" s="80"/>
      <c r="H587" s="4"/>
      <c r="I587" s="76"/>
      <c r="J587" s="78"/>
      <c r="K587" s="78"/>
      <c r="L587" s="78"/>
      <c r="M587" s="78"/>
      <c r="N587" s="81"/>
      <c r="O587" s="78"/>
      <c r="P587" s="82"/>
      <c r="Q587" s="4"/>
      <c r="R587" s="78"/>
      <c r="S587" s="83"/>
      <c r="T587" s="4"/>
      <c r="U587" s="77"/>
    </row>
    <row r="588" spans="1:21" ht="18.75" customHeight="1" x14ac:dyDescent="0.2">
      <c r="A588" s="76"/>
      <c r="B588" s="77"/>
      <c r="C588" s="78"/>
      <c r="D588" s="79"/>
      <c r="E588" s="99"/>
      <c r="F588" s="78"/>
      <c r="G588" s="80"/>
      <c r="H588" s="4"/>
      <c r="I588" s="76"/>
      <c r="J588" s="78"/>
      <c r="K588" s="78"/>
      <c r="L588" s="78"/>
      <c r="M588" s="78"/>
      <c r="N588" s="81"/>
      <c r="O588" s="78"/>
      <c r="P588" s="82"/>
      <c r="Q588" s="4"/>
      <c r="R588" s="78"/>
      <c r="S588" s="83"/>
      <c r="T588" s="4"/>
      <c r="U588" s="77"/>
    </row>
    <row r="589" spans="1:21" ht="18.75" customHeight="1" x14ac:dyDescent="0.2">
      <c r="A589" s="76"/>
      <c r="B589" s="77"/>
      <c r="C589" s="78"/>
      <c r="D589" s="79"/>
      <c r="E589" s="99"/>
      <c r="F589" s="78"/>
      <c r="G589" s="80"/>
      <c r="H589" s="4"/>
      <c r="I589" s="76"/>
      <c r="J589" s="78"/>
      <c r="K589" s="78"/>
      <c r="L589" s="78"/>
      <c r="M589" s="78"/>
      <c r="N589" s="81"/>
      <c r="O589" s="78"/>
      <c r="P589" s="82"/>
      <c r="Q589" s="4"/>
      <c r="R589" s="78"/>
      <c r="S589" s="83"/>
      <c r="T589" s="4"/>
      <c r="U589" s="77"/>
    </row>
    <row r="590" spans="1:21" ht="18.75" customHeight="1" x14ac:dyDescent="0.2">
      <c r="A590" s="76"/>
      <c r="B590" s="77"/>
      <c r="C590" s="78"/>
      <c r="D590" s="79"/>
      <c r="E590" s="99"/>
      <c r="F590" s="78"/>
      <c r="G590" s="80"/>
      <c r="H590" s="4"/>
      <c r="I590" s="76"/>
      <c r="J590" s="78"/>
      <c r="K590" s="78"/>
      <c r="L590" s="78"/>
      <c r="M590" s="78"/>
      <c r="N590" s="81"/>
      <c r="O590" s="78"/>
      <c r="P590" s="82"/>
      <c r="Q590" s="4"/>
      <c r="R590" s="78"/>
      <c r="S590" s="83"/>
      <c r="T590" s="4"/>
      <c r="U590" s="77"/>
    </row>
    <row r="591" spans="1:21" ht="18.75" customHeight="1" x14ac:dyDescent="0.2">
      <c r="A591" s="76"/>
      <c r="B591" s="77"/>
      <c r="C591" s="78"/>
      <c r="D591" s="79"/>
      <c r="E591" s="99"/>
      <c r="F591" s="78"/>
      <c r="G591" s="80"/>
      <c r="H591" s="4"/>
      <c r="I591" s="76"/>
      <c r="J591" s="78"/>
      <c r="K591" s="78"/>
      <c r="L591" s="78"/>
      <c r="M591" s="78"/>
      <c r="N591" s="81"/>
      <c r="O591" s="78"/>
      <c r="P591" s="82"/>
      <c r="Q591" s="4"/>
      <c r="R591" s="78"/>
      <c r="S591" s="83"/>
      <c r="T591" s="4"/>
      <c r="U591" s="77"/>
    </row>
    <row r="592" spans="1:21" ht="18.75" customHeight="1" x14ac:dyDescent="0.2">
      <c r="A592" s="76"/>
      <c r="B592" s="77"/>
      <c r="C592" s="78"/>
      <c r="D592" s="79"/>
      <c r="E592" s="99"/>
      <c r="F592" s="78"/>
      <c r="G592" s="80"/>
      <c r="H592" s="4"/>
      <c r="I592" s="76"/>
      <c r="J592" s="78"/>
      <c r="K592" s="78"/>
      <c r="L592" s="78"/>
      <c r="M592" s="78"/>
      <c r="N592" s="81"/>
      <c r="O592" s="78"/>
      <c r="P592" s="82"/>
      <c r="Q592" s="4"/>
      <c r="R592" s="78"/>
      <c r="S592" s="83"/>
      <c r="T592" s="4"/>
      <c r="U592" s="77"/>
    </row>
    <row r="593" spans="1:21" ht="18.75" customHeight="1" x14ac:dyDescent="0.2">
      <c r="A593" s="76"/>
      <c r="B593" s="77"/>
      <c r="C593" s="78"/>
      <c r="D593" s="79"/>
      <c r="E593" s="99"/>
      <c r="F593" s="78"/>
      <c r="G593" s="80"/>
      <c r="H593" s="4"/>
      <c r="I593" s="76"/>
      <c r="J593" s="78"/>
      <c r="K593" s="78"/>
      <c r="L593" s="78"/>
      <c r="M593" s="78"/>
      <c r="N593" s="81"/>
      <c r="O593" s="78"/>
      <c r="P593" s="82"/>
      <c r="Q593" s="4"/>
      <c r="R593" s="78"/>
      <c r="S593" s="83"/>
      <c r="T593" s="4"/>
      <c r="U593" s="77"/>
    </row>
    <row r="594" spans="1:21" ht="18.75" customHeight="1" x14ac:dyDescent="0.2">
      <c r="A594" s="76"/>
      <c r="B594" s="77"/>
      <c r="C594" s="78"/>
      <c r="D594" s="79"/>
      <c r="E594" s="99"/>
      <c r="F594" s="78"/>
      <c r="G594" s="80"/>
      <c r="H594" s="4"/>
      <c r="I594" s="76"/>
      <c r="J594" s="78"/>
      <c r="K594" s="78"/>
      <c r="L594" s="78"/>
      <c r="M594" s="78"/>
      <c r="N594" s="81"/>
      <c r="O594" s="78"/>
      <c r="P594" s="82"/>
      <c r="Q594" s="4"/>
      <c r="R594" s="78"/>
      <c r="S594" s="83"/>
      <c r="T594" s="4"/>
      <c r="U594" s="77"/>
    </row>
    <row r="595" spans="1:21" ht="18.75" customHeight="1" x14ac:dyDescent="0.2">
      <c r="A595" s="76"/>
      <c r="B595" s="77"/>
      <c r="C595" s="78"/>
      <c r="D595" s="79"/>
      <c r="E595" s="99"/>
      <c r="F595" s="78"/>
      <c r="G595" s="80"/>
      <c r="H595" s="4"/>
      <c r="I595" s="76"/>
      <c r="J595" s="78"/>
      <c r="K595" s="78"/>
      <c r="L595" s="78"/>
      <c r="M595" s="78"/>
      <c r="N595" s="81"/>
      <c r="O595" s="78"/>
      <c r="P595" s="82"/>
      <c r="Q595" s="4"/>
      <c r="R595" s="78"/>
      <c r="S595" s="83"/>
      <c r="T595" s="4"/>
      <c r="U595" s="77"/>
    </row>
    <row r="596" spans="1:21" ht="18.75" customHeight="1" x14ac:dyDescent="0.2">
      <c r="A596" s="76"/>
      <c r="B596" s="77"/>
      <c r="C596" s="78"/>
      <c r="D596" s="79"/>
      <c r="E596" s="99"/>
      <c r="F596" s="78"/>
      <c r="G596" s="80"/>
      <c r="H596" s="4"/>
      <c r="I596" s="76"/>
      <c r="J596" s="78"/>
      <c r="K596" s="78"/>
      <c r="L596" s="78"/>
      <c r="M596" s="78"/>
      <c r="N596" s="81"/>
      <c r="O596" s="78"/>
      <c r="P596" s="82"/>
      <c r="Q596" s="4"/>
      <c r="R596" s="78"/>
      <c r="S596" s="83"/>
      <c r="T596" s="4"/>
      <c r="U596" s="77"/>
    </row>
    <row r="597" spans="1:21" ht="18.75" customHeight="1" x14ac:dyDescent="0.2">
      <c r="A597" s="76"/>
      <c r="B597" s="77"/>
      <c r="C597" s="78"/>
      <c r="D597" s="79"/>
      <c r="E597" s="99"/>
      <c r="F597" s="78"/>
      <c r="G597" s="80"/>
      <c r="H597" s="4"/>
      <c r="I597" s="76"/>
      <c r="J597" s="78"/>
      <c r="K597" s="78"/>
      <c r="L597" s="78"/>
      <c r="M597" s="78"/>
      <c r="N597" s="81"/>
      <c r="O597" s="78"/>
      <c r="P597" s="82"/>
      <c r="Q597" s="4"/>
      <c r="R597" s="78"/>
      <c r="S597" s="83"/>
      <c r="T597" s="4"/>
      <c r="U597" s="77"/>
    </row>
    <row r="598" spans="1:21" ht="18.75" customHeight="1" x14ac:dyDescent="0.2">
      <c r="A598" s="76"/>
      <c r="B598" s="77"/>
      <c r="C598" s="78"/>
      <c r="D598" s="79"/>
      <c r="E598" s="99"/>
      <c r="F598" s="78"/>
      <c r="G598" s="80"/>
      <c r="H598" s="4"/>
      <c r="I598" s="76"/>
      <c r="J598" s="78"/>
      <c r="K598" s="78"/>
      <c r="L598" s="78"/>
      <c r="M598" s="78"/>
      <c r="N598" s="81"/>
      <c r="O598" s="78"/>
      <c r="P598" s="82"/>
      <c r="Q598" s="4"/>
      <c r="R598" s="78"/>
      <c r="S598" s="83"/>
      <c r="T598" s="4"/>
      <c r="U598" s="77"/>
    </row>
    <row r="599" spans="1:21" ht="18.75" customHeight="1" x14ac:dyDescent="0.2">
      <c r="A599" s="76"/>
      <c r="B599" s="77"/>
      <c r="C599" s="78"/>
      <c r="D599" s="79"/>
      <c r="E599" s="99"/>
      <c r="F599" s="78"/>
      <c r="G599" s="80"/>
      <c r="H599" s="4"/>
      <c r="I599" s="76"/>
      <c r="J599" s="78"/>
      <c r="K599" s="78"/>
      <c r="L599" s="78"/>
      <c r="M599" s="78"/>
      <c r="N599" s="81"/>
      <c r="O599" s="78"/>
      <c r="P599" s="82"/>
      <c r="Q599" s="4"/>
      <c r="R599" s="78"/>
      <c r="S599" s="83"/>
      <c r="T599" s="4"/>
      <c r="U599" s="77"/>
    </row>
    <row r="600" spans="1:21" ht="18.75" customHeight="1" x14ac:dyDescent="0.2">
      <c r="A600" s="76"/>
      <c r="B600" s="77"/>
      <c r="C600" s="78"/>
      <c r="D600" s="79"/>
      <c r="E600" s="99"/>
      <c r="F600" s="78"/>
      <c r="G600" s="80"/>
      <c r="H600" s="4"/>
      <c r="I600" s="76"/>
      <c r="J600" s="78"/>
      <c r="K600" s="78"/>
      <c r="L600" s="78"/>
      <c r="M600" s="78"/>
      <c r="N600" s="81"/>
      <c r="O600" s="78"/>
      <c r="P600" s="82"/>
      <c r="Q600" s="4"/>
      <c r="R600" s="78"/>
      <c r="S600" s="83"/>
      <c r="T600" s="4"/>
      <c r="U600" s="77"/>
    </row>
    <row r="601" spans="1:21" ht="18.75" customHeight="1" x14ac:dyDescent="0.2">
      <c r="A601" s="76"/>
      <c r="B601" s="77"/>
      <c r="C601" s="78"/>
      <c r="D601" s="79"/>
      <c r="E601" s="99"/>
      <c r="F601" s="78"/>
      <c r="G601" s="80"/>
      <c r="H601" s="4"/>
      <c r="I601" s="76"/>
      <c r="J601" s="78"/>
      <c r="K601" s="78"/>
      <c r="L601" s="78"/>
      <c r="M601" s="78"/>
      <c r="N601" s="81"/>
      <c r="O601" s="78"/>
      <c r="P601" s="82"/>
      <c r="Q601" s="4"/>
      <c r="R601" s="78"/>
      <c r="S601" s="83"/>
      <c r="T601" s="4"/>
      <c r="U601" s="77"/>
    </row>
    <row r="602" spans="1:21" ht="18.75" customHeight="1" x14ac:dyDescent="0.2">
      <c r="A602" s="76"/>
      <c r="B602" s="77"/>
      <c r="C602" s="78"/>
      <c r="D602" s="79"/>
      <c r="E602" s="99"/>
      <c r="F602" s="78"/>
      <c r="G602" s="80"/>
      <c r="H602" s="4"/>
      <c r="I602" s="76"/>
      <c r="J602" s="78"/>
      <c r="K602" s="78"/>
      <c r="L602" s="78"/>
      <c r="M602" s="78"/>
      <c r="N602" s="81"/>
      <c r="O602" s="78"/>
      <c r="P602" s="82"/>
      <c r="Q602" s="4"/>
      <c r="R602" s="78"/>
      <c r="S602" s="83"/>
      <c r="T602" s="4"/>
      <c r="U602" s="77"/>
    </row>
    <row r="603" spans="1:21" ht="18.75" customHeight="1" x14ac:dyDescent="0.2">
      <c r="A603" s="76"/>
      <c r="B603" s="77"/>
      <c r="C603" s="78"/>
      <c r="D603" s="79"/>
      <c r="E603" s="99"/>
      <c r="F603" s="78"/>
      <c r="G603" s="80"/>
      <c r="H603" s="4"/>
      <c r="I603" s="76"/>
      <c r="J603" s="78"/>
      <c r="K603" s="78"/>
      <c r="L603" s="78"/>
      <c r="M603" s="78"/>
      <c r="N603" s="81"/>
      <c r="O603" s="78"/>
      <c r="P603" s="82"/>
      <c r="Q603" s="4"/>
      <c r="R603" s="78"/>
      <c r="S603" s="83"/>
      <c r="T603" s="4"/>
      <c r="U603" s="77"/>
    </row>
    <row r="604" spans="1:21" ht="18.75" customHeight="1" x14ac:dyDescent="0.2">
      <c r="A604" s="76"/>
      <c r="B604" s="77"/>
      <c r="C604" s="78"/>
      <c r="D604" s="79"/>
      <c r="E604" s="99"/>
      <c r="F604" s="78"/>
      <c r="G604" s="80"/>
      <c r="H604" s="4"/>
      <c r="I604" s="76"/>
      <c r="J604" s="78"/>
      <c r="K604" s="78"/>
      <c r="L604" s="78"/>
      <c r="M604" s="78"/>
      <c r="N604" s="81"/>
      <c r="O604" s="78"/>
      <c r="P604" s="82"/>
      <c r="Q604" s="4"/>
      <c r="R604" s="78"/>
      <c r="S604" s="83"/>
      <c r="T604" s="4"/>
      <c r="U604" s="77"/>
    </row>
    <row r="605" spans="1:21" ht="18.75" customHeight="1" x14ac:dyDescent="0.2">
      <c r="A605" s="76"/>
      <c r="B605" s="77"/>
      <c r="C605" s="78"/>
      <c r="D605" s="79"/>
      <c r="E605" s="99"/>
      <c r="F605" s="78"/>
      <c r="G605" s="80"/>
      <c r="H605" s="4"/>
      <c r="I605" s="76"/>
      <c r="J605" s="78"/>
      <c r="K605" s="78"/>
      <c r="L605" s="78"/>
      <c r="M605" s="78"/>
      <c r="N605" s="81"/>
      <c r="O605" s="78"/>
      <c r="P605" s="82"/>
      <c r="Q605" s="4"/>
      <c r="R605" s="78"/>
      <c r="S605" s="83"/>
      <c r="T605" s="4"/>
      <c r="U605" s="77"/>
    </row>
    <row r="606" spans="1:21" ht="18.75" customHeight="1" x14ac:dyDescent="0.2">
      <c r="A606" s="76"/>
      <c r="B606" s="77"/>
      <c r="C606" s="78"/>
      <c r="D606" s="79"/>
      <c r="E606" s="99"/>
      <c r="F606" s="78"/>
      <c r="G606" s="80"/>
      <c r="H606" s="4"/>
      <c r="I606" s="76"/>
      <c r="J606" s="78"/>
      <c r="K606" s="78"/>
      <c r="L606" s="78"/>
      <c r="M606" s="78"/>
      <c r="N606" s="81"/>
      <c r="O606" s="78"/>
      <c r="P606" s="82"/>
      <c r="Q606" s="4"/>
      <c r="R606" s="78"/>
      <c r="S606" s="83"/>
      <c r="T606" s="4"/>
      <c r="U606" s="77"/>
    </row>
    <row r="607" spans="1:21" ht="18.75" customHeight="1" x14ac:dyDescent="0.2">
      <c r="A607" s="76"/>
      <c r="B607" s="77"/>
      <c r="C607" s="78"/>
      <c r="D607" s="79"/>
      <c r="E607" s="99"/>
      <c r="F607" s="78"/>
      <c r="G607" s="80"/>
      <c r="H607" s="4"/>
      <c r="I607" s="76"/>
      <c r="J607" s="78"/>
      <c r="K607" s="78"/>
      <c r="L607" s="78"/>
      <c r="M607" s="78"/>
      <c r="N607" s="81"/>
      <c r="O607" s="78"/>
      <c r="P607" s="82"/>
      <c r="Q607" s="4"/>
      <c r="R607" s="78"/>
      <c r="S607" s="83"/>
      <c r="T607" s="4"/>
      <c r="U607" s="77"/>
    </row>
    <row r="608" spans="1:21" ht="18.75" customHeight="1" x14ac:dyDescent="0.2">
      <c r="A608" s="76"/>
      <c r="B608" s="77"/>
      <c r="C608" s="78"/>
      <c r="D608" s="79"/>
      <c r="E608" s="99"/>
      <c r="F608" s="78"/>
      <c r="G608" s="80"/>
      <c r="H608" s="4"/>
      <c r="I608" s="76"/>
      <c r="J608" s="78"/>
      <c r="K608" s="78"/>
      <c r="L608" s="78"/>
      <c r="M608" s="78"/>
      <c r="N608" s="81"/>
      <c r="O608" s="78"/>
      <c r="P608" s="82"/>
      <c r="Q608" s="4"/>
      <c r="R608" s="78"/>
      <c r="S608" s="83"/>
      <c r="T608" s="4"/>
      <c r="U608" s="77"/>
    </row>
    <row r="609" spans="1:21" ht="18.75" customHeight="1" x14ac:dyDescent="0.2">
      <c r="A609" s="76"/>
      <c r="B609" s="77"/>
      <c r="C609" s="78"/>
      <c r="D609" s="79"/>
      <c r="E609" s="99"/>
      <c r="F609" s="78"/>
      <c r="G609" s="80"/>
      <c r="H609" s="4"/>
      <c r="I609" s="76"/>
      <c r="J609" s="78"/>
      <c r="K609" s="78"/>
      <c r="L609" s="78"/>
      <c r="M609" s="78"/>
      <c r="N609" s="81"/>
      <c r="O609" s="78"/>
      <c r="P609" s="82"/>
      <c r="Q609" s="4"/>
      <c r="R609" s="78"/>
      <c r="S609" s="83"/>
      <c r="T609" s="4"/>
      <c r="U609" s="77"/>
    </row>
    <row r="610" spans="1:21" ht="18.75" customHeight="1" x14ac:dyDescent="0.2">
      <c r="A610" s="76"/>
      <c r="B610" s="77"/>
      <c r="C610" s="78"/>
      <c r="D610" s="79"/>
      <c r="E610" s="99"/>
      <c r="F610" s="78"/>
      <c r="G610" s="80"/>
      <c r="H610" s="4"/>
      <c r="I610" s="76"/>
      <c r="J610" s="78"/>
      <c r="K610" s="78"/>
      <c r="L610" s="78"/>
      <c r="M610" s="78"/>
      <c r="N610" s="81"/>
      <c r="O610" s="78"/>
      <c r="P610" s="82"/>
      <c r="Q610" s="4"/>
      <c r="R610" s="78"/>
      <c r="S610" s="83"/>
      <c r="T610" s="4"/>
      <c r="U610" s="77"/>
    </row>
    <row r="611" spans="1:21" ht="18.75" customHeight="1" x14ac:dyDescent="0.2">
      <c r="A611" s="76"/>
      <c r="B611" s="77"/>
      <c r="C611" s="78"/>
      <c r="D611" s="79"/>
      <c r="E611" s="99"/>
      <c r="F611" s="78"/>
      <c r="G611" s="80"/>
      <c r="H611" s="4"/>
      <c r="I611" s="76"/>
      <c r="J611" s="78"/>
      <c r="K611" s="78"/>
      <c r="L611" s="78"/>
      <c r="M611" s="78"/>
      <c r="N611" s="81"/>
      <c r="O611" s="78"/>
      <c r="P611" s="82"/>
      <c r="Q611" s="4"/>
      <c r="R611" s="78"/>
      <c r="S611" s="83"/>
      <c r="T611" s="4"/>
      <c r="U611" s="77"/>
    </row>
    <row r="612" spans="1:21" ht="18.75" customHeight="1" x14ac:dyDescent="0.2">
      <c r="A612" s="76"/>
      <c r="B612" s="77"/>
      <c r="C612" s="78"/>
      <c r="D612" s="79"/>
      <c r="E612" s="99"/>
      <c r="F612" s="78"/>
      <c r="G612" s="80"/>
      <c r="H612" s="4"/>
      <c r="I612" s="76"/>
      <c r="J612" s="78"/>
      <c r="K612" s="78"/>
      <c r="L612" s="78"/>
      <c r="M612" s="78"/>
      <c r="N612" s="81"/>
      <c r="O612" s="78"/>
      <c r="P612" s="82"/>
      <c r="Q612" s="4"/>
      <c r="R612" s="78"/>
      <c r="S612" s="83"/>
      <c r="T612" s="4"/>
      <c r="U612" s="77"/>
    </row>
    <row r="613" spans="1:21" ht="18.75" customHeight="1" x14ac:dyDescent="0.2">
      <c r="A613" s="76"/>
      <c r="B613" s="77"/>
      <c r="C613" s="78"/>
      <c r="D613" s="79"/>
      <c r="E613" s="99"/>
      <c r="F613" s="78"/>
      <c r="G613" s="80"/>
      <c r="H613" s="4"/>
      <c r="I613" s="76"/>
      <c r="J613" s="78"/>
      <c r="K613" s="78"/>
      <c r="L613" s="78"/>
      <c r="M613" s="78"/>
      <c r="N613" s="81"/>
      <c r="O613" s="78"/>
      <c r="P613" s="82"/>
      <c r="Q613" s="4"/>
      <c r="R613" s="78"/>
      <c r="S613" s="83"/>
      <c r="T613" s="4"/>
      <c r="U613" s="77"/>
    </row>
    <row r="614" spans="1:21" ht="18.75" customHeight="1" x14ac:dyDescent="0.2">
      <c r="A614" s="76"/>
      <c r="B614" s="77"/>
      <c r="C614" s="78"/>
      <c r="D614" s="79"/>
      <c r="E614" s="99"/>
      <c r="F614" s="78"/>
      <c r="G614" s="80"/>
      <c r="H614" s="4"/>
      <c r="I614" s="76"/>
      <c r="J614" s="78"/>
      <c r="K614" s="78"/>
      <c r="L614" s="78"/>
      <c r="M614" s="78"/>
      <c r="N614" s="81"/>
      <c r="O614" s="78"/>
      <c r="P614" s="82"/>
      <c r="Q614" s="4"/>
      <c r="R614" s="78"/>
      <c r="S614" s="83"/>
      <c r="T614" s="4"/>
      <c r="U614" s="77"/>
    </row>
    <row r="615" spans="1:21" ht="18.75" customHeight="1" x14ac:dyDescent="0.2">
      <c r="A615" s="76"/>
      <c r="B615" s="77"/>
      <c r="C615" s="78"/>
      <c r="D615" s="79"/>
      <c r="E615" s="99"/>
      <c r="F615" s="78"/>
      <c r="G615" s="80"/>
      <c r="H615" s="4"/>
      <c r="I615" s="76"/>
      <c r="J615" s="78"/>
      <c r="K615" s="78"/>
      <c r="L615" s="78"/>
      <c r="M615" s="78"/>
      <c r="N615" s="81"/>
      <c r="O615" s="78"/>
      <c r="P615" s="82"/>
      <c r="Q615" s="4"/>
      <c r="R615" s="78"/>
      <c r="S615" s="83"/>
      <c r="T615" s="4"/>
      <c r="U615" s="77"/>
    </row>
    <row r="616" spans="1:21" ht="18.75" customHeight="1" x14ac:dyDescent="0.2">
      <c r="A616" s="76"/>
      <c r="B616" s="77"/>
      <c r="C616" s="78"/>
      <c r="D616" s="79"/>
      <c r="E616" s="99"/>
      <c r="F616" s="78"/>
      <c r="G616" s="80"/>
      <c r="H616" s="4"/>
      <c r="I616" s="76"/>
      <c r="J616" s="78"/>
      <c r="K616" s="78"/>
      <c r="L616" s="78"/>
      <c r="M616" s="78"/>
      <c r="N616" s="81"/>
      <c r="O616" s="78"/>
      <c r="P616" s="82"/>
      <c r="Q616" s="4"/>
      <c r="R616" s="78"/>
      <c r="S616" s="83"/>
      <c r="T616" s="4"/>
      <c r="U616" s="77"/>
    </row>
    <row r="617" spans="1:21" ht="18.75" customHeight="1" x14ac:dyDescent="0.2">
      <c r="A617" s="76"/>
      <c r="B617" s="77"/>
      <c r="C617" s="78"/>
      <c r="D617" s="79"/>
      <c r="E617" s="99"/>
      <c r="F617" s="78"/>
      <c r="G617" s="80"/>
      <c r="H617" s="4"/>
      <c r="I617" s="76"/>
      <c r="J617" s="78"/>
      <c r="K617" s="78"/>
      <c r="L617" s="78"/>
      <c r="M617" s="78"/>
      <c r="N617" s="81"/>
      <c r="O617" s="78"/>
      <c r="P617" s="82"/>
      <c r="Q617" s="4"/>
      <c r="R617" s="78"/>
      <c r="S617" s="83"/>
      <c r="T617" s="4"/>
      <c r="U617" s="77"/>
    </row>
    <row r="618" spans="1:21" ht="18.75" customHeight="1" x14ac:dyDescent="0.2">
      <c r="A618" s="76"/>
      <c r="B618" s="77"/>
      <c r="C618" s="78"/>
      <c r="D618" s="79"/>
      <c r="E618" s="99"/>
      <c r="F618" s="78"/>
      <c r="G618" s="80"/>
      <c r="H618" s="4"/>
      <c r="I618" s="76"/>
      <c r="J618" s="78"/>
      <c r="K618" s="78"/>
      <c r="L618" s="78"/>
      <c r="M618" s="78"/>
      <c r="N618" s="81"/>
      <c r="O618" s="78"/>
      <c r="P618" s="82"/>
      <c r="Q618" s="4"/>
      <c r="R618" s="78"/>
      <c r="S618" s="83"/>
      <c r="T618" s="4"/>
      <c r="U618" s="77"/>
    </row>
    <row r="619" spans="1:21" ht="18.75" customHeight="1" x14ac:dyDescent="0.2">
      <c r="A619" s="76"/>
      <c r="B619" s="77"/>
      <c r="C619" s="78"/>
      <c r="D619" s="79"/>
      <c r="E619" s="99"/>
      <c r="F619" s="78"/>
      <c r="G619" s="80"/>
      <c r="H619" s="4"/>
      <c r="I619" s="76"/>
      <c r="J619" s="78"/>
      <c r="K619" s="78"/>
      <c r="L619" s="78"/>
      <c r="M619" s="78"/>
      <c r="N619" s="81"/>
      <c r="O619" s="78"/>
      <c r="P619" s="82"/>
      <c r="Q619" s="4"/>
      <c r="R619" s="78"/>
      <c r="S619" s="83"/>
      <c r="T619" s="4"/>
      <c r="U619" s="77"/>
    </row>
    <row r="620" spans="1:21" ht="18.75" customHeight="1" x14ac:dyDescent="0.2">
      <c r="A620" s="76"/>
      <c r="B620" s="77"/>
      <c r="C620" s="78"/>
      <c r="D620" s="79"/>
      <c r="E620" s="99"/>
      <c r="F620" s="78"/>
      <c r="G620" s="80"/>
      <c r="H620" s="4"/>
      <c r="I620" s="76"/>
      <c r="J620" s="78"/>
      <c r="K620" s="78"/>
      <c r="L620" s="78"/>
      <c r="M620" s="78"/>
      <c r="N620" s="81"/>
      <c r="O620" s="78"/>
      <c r="P620" s="82"/>
      <c r="Q620" s="4"/>
      <c r="R620" s="78"/>
      <c r="S620" s="83"/>
      <c r="T620" s="4"/>
      <c r="U620" s="77"/>
    </row>
    <row r="621" spans="1:21" ht="18.75" customHeight="1" x14ac:dyDescent="0.2">
      <c r="A621" s="76"/>
      <c r="B621" s="77"/>
      <c r="C621" s="78"/>
      <c r="D621" s="79"/>
      <c r="E621" s="99"/>
      <c r="F621" s="78"/>
      <c r="G621" s="80"/>
      <c r="H621" s="4"/>
      <c r="I621" s="76"/>
      <c r="J621" s="78"/>
      <c r="K621" s="78"/>
      <c r="L621" s="78"/>
      <c r="M621" s="78"/>
      <c r="N621" s="81"/>
      <c r="O621" s="78"/>
      <c r="P621" s="82"/>
      <c r="Q621" s="4"/>
      <c r="R621" s="78"/>
      <c r="S621" s="83"/>
      <c r="T621" s="4"/>
      <c r="U621" s="77"/>
    </row>
    <row r="622" spans="1:21" ht="18.75" customHeight="1" x14ac:dyDescent="0.2">
      <c r="A622" s="76"/>
      <c r="B622" s="77"/>
      <c r="C622" s="78"/>
      <c r="D622" s="79"/>
      <c r="E622" s="99"/>
      <c r="F622" s="78"/>
      <c r="G622" s="80"/>
      <c r="H622" s="4"/>
      <c r="I622" s="76"/>
      <c r="J622" s="78"/>
      <c r="K622" s="78"/>
      <c r="L622" s="78"/>
      <c r="M622" s="78"/>
      <c r="N622" s="81"/>
      <c r="O622" s="78"/>
      <c r="P622" s="82"/>
      <c r="Q622" s="4"/>
      <c r="R622" s="78"/>
      <c r="S622" s="83"/>
      <c r="T622" s="4"/>
      <c r="U622" s="77"/>
    </row>
    <row r="623" spans="1:21" ht="18.75" customHeight="1" x14ac:dyDescent="0.2">
      <c r="A623" s="76"/>
      <c r="B623" s="77"/>
      <c r="C623" s="78"/>
      <c r="D623" s="79"/>
      <c r="E623" s="99"/>
      <c r="F623" s="78"/>
      <c r="G623" s="80"/>
      <c r="H623" s="4"/>
      <c r="I623" s="76"/>
      <c r="J623" s="78"/>
      <c r="K623" s="78"/>
      <c r="L623" s="78"/>
      <c r="M623" s="78"/>
      <c r="N623" s="81"/>
      <c r="O623" s="78"/>
      <c r="P623" s="82"/>
      <c r="Q623" s="4"/>
      <c r="R623" s="78"/>
      <c r="S623" s="83"/>
      <c r="T623" s="4"/>
      <c r="U623" s="77"/>
    </row>
    <row r="624" spans="1:21" ht="18.75" customHeight="1" x14ac:dyDescent="0.2">
      <c r="A624" s="76"/>
      <c r="B624" s="77"/>
      <c r="C624" s="78"/>
      <c r="D624" s="79"/>
      <c r="E624" s="99"/>
      <c r="F624" s="78"/>
      <c r="G624" s="80"/>
      <c r="H624" s="4"/>
      <c r="I624" s="76"/>
      <c r="J624" s="78"/>
      <c r="K624" s="78"/>
      <c r="L624" s="78"/>
      <c r="M624" s="78"/>
      <c r="N624" s="81"/>
      <c r="O624" s="78"/>
      <c r="P624" s="82"/>
      <c r="Q624" s="4"/>
      <c r="R624" s="78"/>
      <c r="S624" s="83"/>
      <c r="T624" s="4"/>
      <c r="U624" s="77"/>
    </row>
    <row r="625" spans="1:21" ht="18.75" customHeight="1" x14ac:dyDescent="0.2">
      <c r="A625" s="76"/>
      <c r="B625" s="77"/>
      <c r="C625" s="78"/>
      <c r="D625" s="79"/>
      <c r="E625" s="99"/>
      <c r="F625" s="78"/>
      <c r="G625" s="80"/>
      <c r="H625" s="4"/>
      <c r="I625" s="76"/>
      <c r="J625" s="78"/>
      <c r="K625" s="78"/>
      <c r="L625" s="78"/>
      <c r="M625" s="78"/>
      <c r="N625" s="81"/>
      <c r="O625" s="78"/>
      <c r="P625" s="82"/>
      <c r="Q625" s="4"/>
      <c r="R625" s="78"/>
      <c r="S625" s="83"/>
      <c r="T625" s="4"/>
      <c r="U625" s="77"/>
    </row>
    <row r="626" spans="1:21" ht="18.75" customHeight="1" x14ac:dyDescent="0.2">
      <c r="A626" s="76"/>
      <c r="B626" s="77"/>
      <c r="C626" s="78"/>
      <c r="D626" s="79"/>
      <c r="E626" s="99"/>
      <c r="F626" s="78"/>
      <c r="G626" s="80"/>
      <c r="H626" s="4"/>
      <c r="I626" s="76"/>
      <c r="J626" s="78"/>
      <c r="K626" s="78"/>
      <c r="L626" s="78"/>
      <c r="M626" s="78"/>
      <c r="N626" s="81"/>
      <c r="O626" s="78"/>
      <c r="P626" s="82"/>
      <c r="Q626" s="4"/>
      <c r="R626" s="78"/>
      <c r="S626" s="83"/>
      <c r="T626" s="4"/>
      <c r="U626" s="77"/>
    </row>
    <row r="627" spans="1:21" ht="18.75" customHeight="1" x14ac:dyDescent="0.2">
      <c r="A627" s="76"/>
      <c r="B627" s="77"/>
      <c r="C627" s="78"/>
      <c r="D627" s="79"/>
      <c r="E627" s="99"/>
      <c r="F627" s="78"/>
      <c r="G627" s="80"/>
      <c r="H627" s="4"/>
      <c r="I627" s="76"/>
      <c r="J627" s="78"/>
      <c r="K627" s="78"/>
      <c r="L627" s="78"/>
      <c r="M627" s="78"/>
      <c r="N627" s="81"/>
      <c r="O627" s="78"/>
      <c r="P627" s="82"/>
      <c r="Q627" s="4"/>
      <c r="R627" s="78"/>
      <c r="S627" s="83"/>
      <c r="T627" s="4"/>
      <c r="U627" s="77"/>
    </row>
    <row r="628" spans="1:21" ht="18.75" customHeight="1" x14ac:dyDescent="0.2">
      <c r="A628" s="76"/>
      <c r="B628" s="77"/>
      <c r="C628" s="78"/>
      <c r="D628" s="79"/>
      <c r="E628" s="99"/>
      <c r="F628" s="78"/>
      <c r="G628" s="80"/>
      <c r="H628" s="4"/>
      <c r="I628" s="76"/>
      <c r="J628" s="78"/>
      <c r="K628" s="78"/>
      <c r="L628" s="78"/>
      <c r="M628" s="78"/>
      <c r="N628" s="81"/>
      <c r="O628" s="78"/>
      <c r="P628" s="82"/>
      <c r="Q628" s="4"/>
      <c r="R628" s="78"/>
      <c r="S628" s="83"/>
      <c r="T628" s="4"/>
      <c r="U628" s="77"/>
    </row>
    <row r="629" spans="1:21" ht="18.75" customHeight="1" x14ac:dyDescent="0.2">
      <c r="A629" s="76"/>
      <c r="B629" s="77"/>
      <c r="C629" s="78"/>
      <c r="D629" s="79"/>
      <c r="E629" s="99"/>
      <c r="F629" s="78"/>
      <c r="G629" s="80"/>
      <c r="H629" s="4"/>
      <c r="I629" s="76"/>
      <c r="J629" s="78"/>
      <c r="K629" s="78"/>
      <c r="L629" s="78"/>
      <c r="M629" s="78"/>
      <c r="N629" s="81"/>
      <c r="O629" s="78"/>
      <c r="P629" s="82"/>
      <c r="Q629" s="4"/>
      <c r="R629" s="78"/>
      <c r="S629" s="83"/>
      <c r="T629" s="4"/>
      <c r="U629" s="77"/>
    </row>
    <row r="630" spans="1:21" ht="18.75" customHeight="1" x14ac:dyDescent="0.2">
      <c r="A630" s="76"/>
      <c r="B630" s="77"/>
      <c r="C630" s="78"/>
      <c r="D630" s="79"/>
      <c r="E630" s="99"/>
      <c r="F630" s="78"/>
      <c r="G630" s="80"/>
      <c r="H630" s="4"/>
      <c r="I630" s="76"/>
      <c r="J630" s="78"/>
      <c r="K630" s="78"/>
      <c r="L630" s="78"/>
      <c r="M630" s="78"/>
      <c r="N630" s="81"/>
      <c r="O630" s="78"/>
      <c r="P630" s="82"/>
      <c r="Q630" s="4"/>
      <c r="R630" s="78"/>
      <c r="S630" s="83"/>
      <c r="T630" s="4"/>
      <c r="U630" s="77"/>
    </row>
    <row r="631" spans="1:21" ht="18.75" customHeight="1" x14ac:dyDescent="0.2">
      <c r="A631" s="76"/>
      <c r="B631" s="77"/>
      <c r="C631" s="78"/>
      <c r="D631" s="79"/>
      <c r="E631" s="99"/>
      <c r="F631" s="78"/>
      <c r="G631" s="80"/>
      <c r="H631" s="4"/>
      <c r="I631" s="76"/>
      <c r="J631" s="78"/>
      <c r="K631" s="78"/>
      <c r="L631" s="78"/>
      <c r="M631" s="78"/>
      <c r="N631" s="81"/>
      <c r="O631" s="78"/>
      <c r="P631" s="82"/>
      <c r="Q631" s="4"/>
      <c r="R631" s="78"/>
      <c r="S631" s="83"/>
      <c r="T631" s="4"/>
      <c r="U631" s="77"/>
    </row>
    <row r="632" spans="1:21" ht="18.75" customHeight="1" x14ac:dyDescent="0.2">
      <c r="A632" s="76"/>
      <c r="B632" s="77"/>
      <c r="C632" s="78"/>
      <c r="D632" s="79"/>
      <c r="E632" s="99"/>
      <c r="F632" s="78"/>
      <c r="G632" s="80"/>
      <c r="H632" s="4"/>
      <c r="I632" s="76"/>
      <c r="J632" s="78"/>
      <c r="K632" s="78"/>
      <c r="L632" s="78"/>
      <c r="M632" s="78"/>
      <c r="N632" s="81"/>
      <c r="O632" s="78"/>
      <c r="P632" s="82"/>
      <c r="Q632" s="4"/>
      <c r="R632" s="78"/>
      <c r="S632" s="83"/>
      <c r="T632" s="4"/>
      <c r="U632" s="77"/>
    </row>
    <row r="633" spans="1:21" ht="18.75" customHeight="1" x14ac:dyDescent="0.2">
      <c r="A633" s="76"/>
      <c r="B633" s="77"/>
      <c r="C633" s="78"/>
      <c r="D633" s="79"/>
      <c r="E633" s="99"/>
      <c r="F633" s="78"/>
      <c r="G633" s="80"/>
      <c r="H633" s="4"/>
      <c r="I633" s="76"/>
      <c r="J633" s="78"/>
      <c r="K633" s="78"/>
      <c r="L633" s="78"/>
      <c r="M633" s="78"/>
      <c r="N633" s="81"/>
      <c r="O633" s="78"/>
      <c r="P633" s="82"/>
      <c r="Q633" s="4"/>
      <c r="R633" s="78"/>
      <c r="S633" s="83"/>
      <c r="T633" s="4"/>
      <c r="U633" s="77"/>
    </row>
    <row r="634" spans="1:21" ht="18.75" customHeight="1" x14ac:dyDescent="0.2">
      <c r="A634" s="76"/>
      <c r="B634" s="77"/>
      <c r="C634" s="78"/>
      <c r="D634" s="79"/>
      <c r="E634" s="99"/>
      <c r="F634" s="78"/>
      <c r="G634" s="80"/>
      <c r="H634" s="4"/>
      <c r="I634" s="76"/>
      <c r="J634" s="78"/>
      <c r="K634" s="78"/>
      <c r="L634" s="78"/>
      <c r="M634" s="78"/>
      <c r="N634" s="81"/>
      <c r="O634" s="78"/>
      <c r="P634" s="82"/>
      <c r="Q634" s="4"/>
      <c r="R634" s="78"/>
      <c r="S634" s="83"/>
      <c r="T634" s="4"/>
      <c r="U634" s="77"/>
    </row>
    <row r="635" spans="1:21" ht="18.75" customHeight="1" x14ac:dyDescent="0.2">
      <c r="A635" s="76"/>
      <c r="B635" s="77"/>
      <c r="C635" s="78"/>
      <c r="D635" s="79"/>
      <c r="E635" s="99"/>
      <c r="F635" s="78"/>
      <c r="G635" s="80"/>
      <c r="H635" s="4"/>
      <c r="I635" s="76"/>
      <c r="J635" s="78"/>
      <c r="K635" s="78"/>
      <c r="L635" s="78"/>
      <c r="M635" s="78"/>
      <c r="N635" s="81"/>
      <c r="O635" s="78"/>
      <c r="P635" s="82"/>
      <c r="Q635" s="4"/>
      <c r="R635" s="78"/>
      <c r="S635" s="83"/>
      <c r="T635" s="4"/>
      <c r="U635" s="77"/>
    </row>
    <row r="636" spans="1:21" ht="18.75" customHeight="1" x14ac:dyDescent="0.2">
      <c r="A636" s="76"/>
      <c r="B636" s="77"/>
      <c r="C636" s="78"/>
      <c r="D636" s="79"/>
      <c r="E636" s="99"/>
      <c r="F636" s="78"/>
      <c r="G636" s="80"/>
      <c r="H636" s="4"/>
      <c r="I636" s="76"/>
      <c r="J636" s="78"/>
      <c r="K636" s="78"/>
      <c r="L636" s="78"/>
      <c r="M636" s="78"/>
      <c r="N636" s="81"/>
      <c r="O636" s="78"/>
      <c r="P636" s="82"/>
      <c r="Q636" s="4"/>
      <c r="R636" s="78"/>
      <c r="S636" s="83"/>
      <c r="T636" s="4"/>
      <c r="U636" s="77"/>
    </row>
    <row r="637" spans="1:21" ht="18.75" customHeight="1" x14ac:dyDescent="0.2">
      <c r="A637" s="76"/>
      <c r="B637" s="77"/>
      <c r="C637" s="78"/>
      <c r="D637" s="79"/>
      <c r="E637" s="99"/>
      <c r="F637" s="78"/>
      <c r="G637" s="80"/>
      <c r="H637" s="4"/>
      <c r="I637" s="76"/>
      <c r="J637" s="78"/>
      <c r="K637" s="78"/>
      <c r="L637" s="78"/>
      <c r="M637" s="78"/>
      <c r="N637" s="81"/>
      <c r="O637" s="78"/>
      <c r="P637" s="82"/>
      <c r="Q637" s="4"/>
      <c r="R637" s="78"/>
      <c r="S637" s="83"/>
      <c r="T637" s="4"/>
      <c r="U637" s="77"/>
    </row>
    <row r="638" spans="1:21" ht="18.75" customHeight="1" x14ac:dyDescent="0.2">
      <c r="A638" s="76"/>
      <c r="B638" s="77"/>
      <c r="C638" s="78"/>
      <c r="D638" s="79"/>
      <c r="E638" s="99"/>
      <c r="F638" s="78"/>
      <c r="G638" s="80"/>
      <c r="H638" s="4"/>
      <c r="I638" s="76"/>
      <c r="J638" s="78"/>
      <c r="K638" s="78"/>
      <c r="L638" s="78"/>
      <c r="M638" s="78"/>
      <c r="N638" s="81"/>
      <c r="O638" s="78"/>
      <c r="P638" s="82"/>
      <c r="Q638" s="4"/>
      <c r="R638" s="78"/>
      <c r="S638" s="83"/>
      <c r="T638" s="4"/>
      <c r="U638" s="77"/>
    </row>
    <row r="639" spans="1:21" ht="18.75" customHeight="1" x14ac:dyDescent="0.2">
      <c r="A639" s="76"/>
      <c r="B639" s="77"/>
      <c r="C639" s="78"/>
      <c r="D639" s="79"/>
      <c r="E639" s="99"/>
      <c r="F639" s="78"/>
      <c r="G639" s="80"/>
      <c r="H639" s="4"/>
      <c r="I639" s="76"/>
      <c r="J639" s="78"/>
      <c r="K639" s="78"/>
      <c r="L639" s="78"/>
      <c r="M639" s="78"/>
      <c r="N639" s="81"/>
      <c r="O639" s="78"/>
      <c r="P639" s="82"/>
      <c r="Q639" s="4"/>
      <c r="R639" s="78"/>
      <c r="S639" s="83"/>
      <c r="T639" s="4"/>
      <c r="U639" s="77"/>
    </row>
    <row r="640" spans="1:21" ht="18.75" customHeight="1" x14ac:dyDescent="0.2">
      <c r="A640" s="76"/>
      <c r="B640" s="77"/>
      <c r="C640" s="78"/>
      <c r="D640" s="79"/>
      <c r="E640" s="99"/>
      <c r="F640" s="78"/>
      <c r="G640" s="80"/>
      <c r="H640" s="4"/>
      <c r="I640" s="76"/>
      <c r="J640" s="78"/>
      <c r="K640" s="78"/>
      <c r="L640" s="78"/>
      <c r="M640" s="78"/>
      <c r="N640" s="81"/>
      <c r="O640" s="78"/>
      <c r="P640" s="82"/>
      <c r="Q640" s="4"/>
      <c r="R640" s="78"/>
      <c r="S640" s="83"/>
      <c r="T640" s="4"/>
      <c r="U640" s="77"/>
    </row>
    <row r="641" spans="1:21" ht="18.75" customHeight="1" x14ac:dyDescent="0.2">
      <c r="A641" s="76"/>
      <c r="B641" s="77"/>
      <c r="C641" s="78"/>
      <c r="D641" s="79"/>
      <c r="E641" s="99"/>
      <c r="F641" s="78"/>
      <c r="G641" s="80"/>
      <c r="H641" s="4"/>
      <c r="I641" s="76"/>
      <c r="J641" s="78"/>
      <c r="K641" s="78"/>
      <c r="L641" s="78"/>
      <c r="M641" s="78"/>
      <c r="N641" s="81"/>
      <c r="O641" s="78"/>
      <c r="P641" s="82"/>
      <c r="Q641" s="4"/>
      <c r="R641" s="78"/>
      <c r="S641" s="83"/>
      <c r="T641" s="4"/>
      <c r="U641" s="77"/>
    </row>
    <row r="642" spans="1:21" ht="18.75" customHeight="1" x14ac:dyDescent="0.2">
      <c r="A642" s="76"/>
      <c r="B642" s="77"/>
      <c r="C642" s="78"/>
      <c r="D642" s="79"/>
      <c r="E642" s="99"/>
      <c r="F642" s="78"/>
      <c r="G642" s="80"/>
      <c r="H642" s="4"/>
      <c r="I642" s="76"/>
      <c r="J642" s="78"/>
      <c r="K642" s="78"/>
      <c r="L642" s="78"/>
      <c r="M642" s="78"/>
      <c r="N642" s="81"/>
      <c r="O642" s="78"/>
      <c r="P642" s="82"/>
      <c r="Q642" s="4"/>
      <c r="R642" s="78"/>
      <c r="S642" s="83"/>
      <c r="T642" s="4"/>
      <c r="U642" s="77"/>
    </row>
    <row r="643" spans="1:21" ht="18.75" customHeight="1" x14ac:dyDescent="0.2">
      <c r="A643" s="76"/>
      <c r="B643" s="77"/>
      <c r="C643" s="78"/>
      <c r="D643" s="79"/>
      <c r="E643" s="99"/>
      <c r="F643" s="78"/>
      <c r="G643" s="80"/>
      <c r="H643" s="4"/>
      <c r="I643" s="76"/>
      <c r="J643" s="78"/>
      <c r="K643" s="78"/>
      <c r="L643" s="78"/>
      <c r="M643" s="78"/>
      <c r="N643" s="81"/>
      <c r="O643" s="78"/>
      <c r="P643" s="82"/>
      <c r="Q643" s="4"/>
      <c r="R643" s="78"/>
      <c r="S643" s="83"/>
      <c r="T643" s="4"/>
      <c r="U643" s="77"/>
    </row>
    <row r="644" spans="1:21" ht="18.75" customHeight="1" x14ac:dyDescent="0.2">
      <c r="A644" s="76"/>
      <c r="B644" s="77"/>
      <c r="C644" s="78"/>
      <c r="D644" s="79"/>
      <c r="E644" s="99"/>
      <c r="F644" s="78"/>
      <c r="G644" s="80"/>
      <c r="H644" s="4"/>
      <c r="I644" s="76"/>
      <c r="J644" s="78"/>
      <c r="K644" s="78"/>
      <c r="L644" s="78"/>
      <c r="M644" s="78"/>
      <c r="N644" s="81"/>
      <c r="O644" s="78"/>
      <c r="P644" s="82"/>
      <c r="Q644" s="4"/>
      <c r="R644" s="78"/>
      <c r="S644" s="83"/>
      <c r="T644" s="4"/>
      <c r="U644" s="77"/>
    </row>
    <row r="645" spans="1:21" ht="18.75" customHeight="1" x14ac:dyDescent="0.2">
      <c r="A645" s="76"/>
      <c r="B645" s="77"/>
      <c r="C645" s="78"/>
      <c r="D645" s="79"/>
      <c r="E645" s="99"/>
      <c r="F645" s="78"/>
      <c r="G645" s="80"/>
      <c r="H645" s="4"/>
      <c r="I645" s="76"/>
      <c r="J645" s="78"/>
      <c r="K645" s="78"/>
      <c r="L645" s="78"/>
      <c r="M645" s="78"/>
      <c r="N645" s="81"/>
      <c r="O645" s="78"/>
      <c r="P645" s="82"/>
      <c r="Q645" s="4"/>
      <c r="R645" s="78"/>
      <c r="S645" s="83"/>
      <c r="T645" s="4"/>
      <c r="U645" s="77"/>
    </row>
    <row r="646" spans="1:21" ht="18.75" customHeight="1" x14ac:dyDescent="0.2">
      <c r="A646" s="76"/>
      <c r="B646" s="77"/>
      <c r="C646" s="78"/>
      <c r="D646" s="79"/>
      <c r="E646" s="99"/>
      <c r="F646" s="78"/>
      <c r="G646" s="80"/>
      <c r="H646" s="4"/>
      <c r="I646" s="76"/>
      <c r="J646" s="78"/>
      <c r="K646" s="78"/>
      <c r="L646" s="78"/>
      <c r="M646" s="78"/>
      <c r="N646" s="81"/>
      <c r="O646" s="78"/>
      <c r="P646" s="82"/>
      <c r="Q646" s="4"/>
      <c r="R646" s="78"/>
      <c r="S646" s="83"/>
      <c r="T646" s="4"/>
      <c r="U646" s="77"/>
    </row>
    <row r="647" spans="1:21" ht="18.75" customHeight="1" x14ac:dyDescent="0.2">
      <c r="A647" s="76"/>
      <c r="B647" s="77"/>
      <c r="C647" s="78"/>
      <c r="D647" s="79"/>
      <c r="E647" s="99"/>
      <c r="F647" s="78"/>
      <c r="G647" s="80"/>
      <c r="H647" s="4"/>
      <c r="I647" s="76"/>
      <c r="J647" s="78"/>
      <c r="K647" s="78"/>
      <c r="L647" s="78"/>
      <c r="M647" s="78"/>
      <c r="N647" s="81"/>
      <c r="O647" s="78"/>
      <c r="P647" s="82"/>
      <c r="Q647" s="4"/>
      <c r="R647" s="78"/>
      <c r="S647" s="83"/>
      <c r="T647" s="4"/>
      <c r="U647" s="77"/>
    </row>
    <row r="648" spans="1:21" ht="18.75" customHeight="1" x14ac:dyDescent="0.2">
      <c r="A648" s="76"/>
      <c r="B648" s="77"/>
      <c r="C648" s="78"/>
      <c r="D648" s="79"/>
      <c r="E648" s="99"/>
      <c r="F648" s="78"/>
      <c r="G648" s="80"/>
      <c r="H648" s="4"/>
      <c r="I648" s="76"/>
      <c r="J648" s="78"/>
      <c r="K648" s="78"/>
      <c r="L648" s="78"/>
      <c r="M648" s="78"/>
      <c r="N648" s="81"/>
      <c r="O648" s="78"/>
      <c r="P648" s="82"/>
      <c r="Q648" s="4"/>
      <c r="R648" s="78"/>
      <c r="S648" s="83"/>
      <c r="T648" s="4"/>
      <c r="U648" s="77"/>
    </row>
    <row r="649" spans="1:21" ht="18.75" customHeight="1" x14ac:dyDescent="0.2">
      <c r="A649" s="76"/>
      <c r="B649" s="77"/>
      <c r="C649" s="78"/>
      <c r="D649" s="79"/>
      <c r="E649" s="99"/>
      <c r="F649" s="78"/>
      <c r="G649" s="80"/>
      <c r="H649" s="4"/>
      <c r="I649" s="76"/>
      <c r="J649" s="78"/>
      <c r="K649" s="78"/>
      <c r="L649" s="78"/>
      <c r="M649" s="78"/>
      <c r="N649" s="81"/>
      <c r="O649" s="78"/>
      <c r="P649" s="82"/>
      <c r="Q649" s="4"/>
      <c r="R649" s="78"/>
      <c r="S649" s="83"/>
      <c r="T649" s="4"/>
      <c r="U649" s="77"/>
    </row>
    <row r="650" spans="1:21" ht="18.75" customHeight="1" x14ac:dyDescent="0.2">
      <c r="A650" s="76"/>
      <c r="B650" s="77"/>
      <c r="C650" s="78"/>
      <c r="D650" s="79"/>
      <c r="E650" s="99"/>
      <c r="F650" s="78"/>
      <c r="G650" s="80"/>
      <c r="H650" s="4"/>
      <c r="I650" s="76"/>
      <c r="J650" s="78"/>
      <c r="K650" s="78"/>
      <c r="L650" s="78"/>
      <c r="M650" s="78"/>
      <c r="N650" s="81"/>
      <c r="O650" s="78"/>
      <c r="P650" s="82"/>
      <c r="Q650" s="4"/>
      <c r="R650" s="78"/>
      <c r="S650" s="83"/>
      <c r="T650" s="4"/>
      <c r="U650" s="77"/>
    </row>
    <row r="651" spans="1:21" ht="18.75" customHeight="1" x14ac:dyDescent="0.2">
      <c r="A651" s="76"/>
      <c r="B651" s="77"/>
      <c r="C651" s="78"/>
      <c r="D651" s="79"/>
      <c r="E651" s="99"/>
      <c r="F651" s="78"/>
      <c r="G651" s="80"/>
      <c r="H651" s="4"/>
      <c r="I651" s="76"/>
      <c r="J651" s="78"/>
      <c r="K651" s="78"/>
      <c r="L651" s="78"/>
      <c r="M651" s="78"/>
      <c r="N651" s="81"/>
      <c r="O651" s="78"/>
      <c r="P651" s="82"/>
      <c r="Q651" s="4"/>
      <c r="R651" s="78"/>
      <c r="S651" s="83"/>
      <c r="T651" s="4"/>
      <c r="U651" s="77"/>
    </row>
    <row r="652" spans="1:21" ht="18.75" customHeight="1" x14ac:dyDescent="0.2">
      <c r="A652" s="76"/>
      <c r="B652" s="77"/>
      <c r="C652" s="78"/>
      <c r="D652" s="79"/>
      <c r="E652" s="99"/>
      <c r="F652" s="78"/>
      <c r="G652" s="80"/>
      <c r="H652" s="4"/>
      <c r="I652" s="76"/>
      <c r="J652" s="78"/>
      <c r="K652" s="78"/>
      <c r="L652" s="78"/>
      <c r="M652" s="78"/>
      <c r="N652" s="81"/>
      <c r="O652" s="78"/>
      <c r="P652" s="82"/>
      <c r="Q652" s="4"/>
      <c r="R652" s="78"/>
      <c r="S652" s="83"/>
      <c r="T652" s="4"/>
      <c r="U652" s="77"/>
    </row>
    <row r="653" spans="1:21" ht="18.75" customHeight="1" x14ac:dyDescent="0.2">
      <c r="A653" s="76"/>
      <c r="B653" s="77"/>
      <c r="C653" s="78"/>
      <c r="D653" s="79"/>
      <c r="E653" s="99"/>
      <c r="F653" s="78"/>
      <c r="G653" s="80"/>
      <c r="H653" s="4"/>
      <c r="I653" s="76"/>
      <c r="J653" s="78"/>
      <c r="K653" s="78"/>
      <c r="L653" s="78"/>
      <c r="M653" s="78"/>
      <c r="N653" s="81"/>
      <c r="O653" s="78"/>
      <c r="P653" s="82"/>
      <c r="Q653" s="4"/>
      <c r="R653" s="78"/>
      <c r="S653" s="83"/>
      <c r="T653" s="4"/>
      <c r="U653" s="77"/>
    </row>
    <row r="654" spans="1:21" ht="18.75" customHeight="1" x14ac:dyDescent="0.2">
      <c r="A654" s="76"/>
      <c r="B654" s="77"/>
      <c r="C654" s="78"/>
      <c r="D654" s="79"/>
      <c r="E654" s="99"/>
      <c r="F654" s="78"/>
      <c r="G654" s="80"/>
      <c r="H654" s="4"/>
      <c r="I654" s="76"/>
      <c r="J654" s="78"/>
      <c r="K654" s="78"/>
      <c r="L654" s="78"/>
      <c r="M654" s="78"/>
      <c r="N654" s="81"/>
      <c r="O654" s="78"/>
      <c r="P654" s="82"/>
      <c r="Q654" s="4"/>
      <c r="R654" s="78"/>
      <c r="S654" s="83"/>
      <c r="T654" s="4"/>
      <c r="U654" s="77"/>
    </row>
    <row r="655" spans="1:21" ht="18.75" customHeight="1" x14ac:dyDescent="0.2">
      <c r="A655" s="76"/>
      <c r="B655" s="77"/>
      <c r="C655" s="78"/>
      <c r="D655" s="79"/>
      <c r="E655" s="99"/>
      <c r="F655" s="78"/>
      <c r="G655" s="80"/>
      <c r="H655" s="4"/>
      <c r="I655" s="76"/>
      <c r="J655" s="78"/>
      <c r="K655" s="78"/>
      <c r="L655" s="78"/>
      <c r="M655" s="78"/>
      <c r="N655" s="81"/>
      <c r="O655" s="78"/>
      <c r="P655" s="82"/>
      <c r="Q655" s="4"/>
      <c r="R655" s="78"/>
      <c r="S655" s="83"/>
      <c r="T655" s="4"/>
      <c r="U655" s="77"/>
    </row>
    <row r="656" spans="1:21" ht="18.75" customHeight="1" x14ac:dyDescent="0.2">
      <c r="A656" s="76"/>
      <c r="B656" s="77"/>
      <c r="C656" s="78"/>
      <c r="D656" s="79"/>
      <c r="E656" s="99"/>
      <c r="F656" s="78"/>
      <c r="G656" s="80"/>
      <c r="H656" s="4"/>
      <c r="I656" s="76"/>
      <c r="J656" s="78"/>
      <c r="K656" s="78"/>
      <c r="L656" s="78"/>
      <c r="M656" s="78"/>
      <c r="N656" s="81"/>
      <c r="O656" s="78"/>
      <c r="P656" s="82"/>
      <c r="Q656" s="4"/>
      <c r="R656" s="78"/>
      <c r="S656" s="83"/>
      <c r="T656" s="4"/>
      <c r="U656" s="77"/>
    </row>
    <row r="657" spans="1:21" ht="18.75" customHeight="1" x14ac:dyDescent="0.2">
      <c r="A657" s="76"/>
      <c r="B657" s="77"/>
      <c r="C657" s="78"/>
      <c r="D657" s="79"/>
      <c r="E657" s="99"/>
      <c r="F657" s="78"/>
      <c r="G657" s="80"/>
      <c r="H657" s="4"/>
      <c r="I657" s="76"/>
      <c r="J657" s="78"/>
      <c r="K657" s="78"/>
      <c r="L657" s="78"/>
      <c r="M657" s="78"/>
      <c r="N657" s="81"/>
      <c r="O657" s="78"/>
      <c r="P657" s="82"/>
      <c r="Q657" s="4"/>
      <c r="R657" s="78"/>
      <c r="S657" s="83"/>
      <c r="T657" s="4"/>
      <c r="U657" s="77"/>
    </row>
    <row r="658" spans="1:21" ht="18.75" customHeight="1" x14ac:dyDescent="0.2">
      <c r="A658" s="76"/>
      <c r="B658" s="77"/>
      <c r="C658" s="78"/>
      <c r="D658" s="79"/>
      <c r="E658" s="99"/>
      <c r="F658" s="78"/>
      <c r="G658" s="80"/>
      <c r="H658" s="4"/>
      <c r="I658" s="76"/>
      <c r="J658" s="78"/>
      <c r="K658" s="78"/>
      <c r="L658" s="78"/>
      <c r="M658" s="78"/>
      <c r="N658" s="81"/>
      <c r="O658" s="78"/>
      <c r="P658" s="82"/>
      <c r="Q658" s="4"/>
      <c r="R658" s="78"/>
      <c r="S658" s="83"/>
      <c r="T658" s="4"/>
      <c r="U658" s="77"/>
    </row>
    <row r="659" spans="1:21" ht="18.75" customHeight="1" x14ac:dyDescent="0.2">
      <c r="A659" s="76"/>
      <c r="B659" s="77"/>
      <c r="C659" s="78"/>
      <c r="D659" s="79"/>
      <c r="E659" s="99"/>
      <c r="F659" s="78"/>
      <c r="G659" s="80"/>
      <c r="H659" s="4"/>
      <c r="I659" s="76"/>
      <c r="J659" s="78"/>
      <c r="K659" s="78"/>
      <c r="L659" s="78"/>
      <c r="M659" s="78"/>
      <c r="N659" s="81"/>
      <c r="O659" s="78"/>
      <c r="P659" s="82"/>
      <c r="Q659" s="4"/>
      <c r="R659" s="78"/>
      <c r="S659" s="83"/>
      <c r="T659" s="4"/>
      <c r="U659" s="77"/>
    </row>
    <row r="660" spans="1:21" ht="18.75" customHeight="1" x14ac:dyDescent="0.2">
      <c r="A660" s="76"/>
      <c r="B660" s="77"/>
      <c r="C660" s="78"/>
      <c r="D660" s="79"/>
      <c r="E660" s="99"/>
      <c r="F660" s="78"/>
      <c r="G660" s="80"/>
      <c r="H660" s="4"/>
      <c r="I660" s="76"/>
      <c r="J660" s="78"/>
      <c r="K660" s="78"/>
      <c r="L660" s="78"/>
      <c r="M660" s="78"/>
      <c r="N660" s="81"/>
      <c r="O660" s="78"/>
      <c r="P660" s="82"/>
      <c r="Q660" s="4"/>
      <c r="R660" s="78"/>
      <c r="S660" s="83"/>
      <c r="T660" s="4"/>
      <c r="U660" s="77"/>
    </row>
    <row r="661" spans="1:21" ht="18.75" customHeight="1" x14ac:dyDescent="0.2">
      <c r="A661" s="76"/>
      <c r="B661" s="77"/>
      <c r="C661" s="78"/>
      <c r="D661" s="79"/>
      <c r="E661" s="99"/>
      <c r="F661" s="78"/>
      <c r="G661" s="80"/>
      <c r="H661" s="4"/>
      <c r="I661" s="76"/>
      <c r="J661" s="78"/>
      <c r="K661" s="78"/>
      <c r="L661" s="78"/>
      <c r="M661" s="78"/>
      <c r="N661" s="81"/>
      <c r="O661" s="78"/>
      <c r="P661" s="82"/>
      <c r="Q661" s="4"/>
      <c r="R661" s="78"/>
      <c r="S661" s="83"/>
      <c r="T661" s="4"/>
      <c r="U661" s="77"/>
    </row>
    <row r="662" spans="1:21" ht="18.75" customHeight="1" x14ac:dyDescent="0.2">
      <c r="A662" s="76"/>
      <c r="B662" s="77"/>
      <c r="C662" s="78"/>
      <c r="D662" s="79"/>
      <c r="E662" s="99"/>
      <c r="F662" s="78"/>
      <c r="G662" s="80"/>
      <c r="H662" s="4"/>
      <c r="I662" s="76"/>
      <c r="J662" s="78"/>
      <c r="K662" s="78"/>
      <c r="L662" s="78"/>
      <c r="M662" s="78"/>
      <c r="N662" s="81"/>
      <c r="O662" s="78"/>
      <c r="P662" s="82"/>
      <c r="Q662" s="4"/>
      <c r="R662" s="78"/>
      <c r="S662" s="83"/>
      <c r="T662" s="4"/>
      <c r="U662" s="77"/>
    </row>
    <row r="663" spans="1:21" ht="18.75" customHeight="1" x14ac:dyDescent="0.2">
      <c r="A663" s="76"/>
      <c r="B663" s="77"/>
      <c r="C663" s="78"/>
      <c r="D663" s="79"/>
      <c r="E663" s="99"/>
      <c r="F663" s="78"/>
      <c r="G663" s="80"/>
      <c r="H663" s="4"/>
      <c r="I663" s="76"/>
      <c r="J663" s="78"/>
      <c r="K663" s="78"/>
      <c r="L663" s="78"/>
      <c r="M663" s="78"/>
      <c r="N663" s="81"/>
      <c r="O663" s="78"/>
      <c r="P663" s="82"/>
      <c r="Q663" s="4"/>
      <c r="R663" s="78"/>
      <c r="S663" s="83"/>
      <c r="T663" s="4"/>
      <c r="U663" s="77"/>
    </row>
    <row r="664" spans="1:21" ht="18.75" customHeight="1" x14ac:dyDescent="0.2">
      <c r="A664" s="76"/>
      <c r="B664" s="77"/>
      <c r="C664" s="78"/>
      <c r="D664" s="79"/>
      <c r="E664" s="99"/>
      <c r="F664" s="78"/>
      <c r="G664" s="80"/>
      <c r="H664" s="4"/>
      <c r="I664" s="76"/>
      <c r="J664" s="78"/>
      <c r="K664" s="78"/>
      <c r="L664" s="78"/>
      <c r="M664" s="78"/>
      <c r="N664" s="81"/>
      <c r="O664" s="78"/>
      <c r="P664" s="82"/>
      <c r="Q664" s="4"/>
      <c r="R664" s="78"/>
      <c r="S664" s="83"/>
      <c r="T664" s="4"/>
      <c r="U664" s="77"/>
    </row>
    <row r="665" spans="1:21" ht="18.75" customHeight="1" x14ac:dyDescent="0.2">
      <c r="A665" s="76"/>
      <c r="B665" s="77"/>
      <c r="C665" s="78"/>
      <c r="D665" s="79"/>
      <c r="E665" s="99"/>
      <c r="F665" s="78"/>
      <c r="G665" s="80"/>
      <c r="H665" s="4"/>
      <c r="I665" s="76"/>
      <c r="J665" s="78"/>
      <c r="K665" s="78"/>
      <c r="L665" s="78"/>
      <c r="M665" s="78"/>
      <c r="N665" s="81"/>
      <c r="O665" s="78"/>
      <c r="P665" s="82"/>
      <c r="Q665" s="4"/>
      <c r="R665" s="78"/>
      <c r="S665" s="83"/>
      <c r="T665" s="4"/>
      <c r="U665" s="77"/>
    </row>
    <row r="666" spans="1:21" ht="18.75" customHeight="1" x14ac:dyDescent="0.2">
      <c r="A666" s="76"/>
      <c r="B666" s="77"/>
      <c r="C666" s="78"/>
      <c r="D666" s="79"/>
      <c r="E666" s="99"/>
      <c r="F666" s="78"/>
      <c r="G666" s="80"/>
      <c r="H666" s="4"/>
      <c r="I666" s="76"/>
      <c r="J666" s="78"/>
      <c r="K666" s="78"/>
      <c r="L666" s="78"/>
      <c r="M666" s="78"/>
      <c r="N666" s="81"/>
      <c r="O666" s="78"/>
      <c r="P666" s="82"/>
      <c r="Q666" s="4"/>
      <c r="R666" s="78"/>
      <c r="S666" s="83"/>
      <c r="T666" s="4"/>
      <c r="U666" s="77"/>
    </row>
    <row r="667" spans="1:21" ht="18.75" customHeight="1" x14ac:dyDescent="0.2">
      <c r="A667" s="76"/>
      <c r="B667" s="77"/>
      <c r="C667" s="78"/>
      <c r="D667" s="79"/>
      <c r="E667" s="99"/>
      <c r="F667" s="78"/>
      <c r="G667" s="80"/>
      <c r="H667" s="4"/>
      <c r="I667" s="76"/>
      <c r="J667" s="78"/>
      <c r="K667" s="78"/>
      <c r="L667" s="78"/>
      <c r="M667" s="78"/>
      <c r="N667" s="81"/>
      <c r="O667" s="78"/>
      <c r="P667" s="82"/>
      <c r="Q667" s="4"/>
      <c r="R667" s="78"/>
      <c r="S667" s="83"/>
      <c r="T667" s="4"/>
      <c r="U667" s="77"/>
    </row>
    <row r="668" spans="1:21" ht="18.75" customHeight="1" x14ac:dyDescent="0.2">
      <c r="A668" s="76"/>
      <c r="B668" s="77"/>
      <c r="C668" s="78"/>
      <c r="D668" s="79"/>
      <c r="E668" s="99"/>
      <c r="F668" s="78"/>
      <c r="G668" s="80"/>
      <c r="H668" s="4"/>
      <c r="I668" s="76"/>
      <c r="J668" s="78"/>
      <c r="K668" s="78"/>
      <c r="L668" s="78"/>
      <c r="M668" s="78"/>
      <c r="N668" s="81"/>
      <c r="O668" s="78"/>
      <c r="P668" s="82"/>
      <c r="Q668" s="4"/>
      <c r="R668" s="78"/>
      <c r="S668" s="83"/>
      <c r="T668" s="4"/>
      <c r="U668" s="77"/>
    </row>
    <row r="669" spans="1:21" ht="18.75" customHeight="1" x14ac:dyDescent="0.2">
      <c r="A669" s="76"/>
      <c r="B669" s="77"/>
      <c r="C669" s="78"/>
      <c r="D669" s="79"/>
      <c r="E669" s="99"/>
      <c r="F669" s="78"/>
      <c r="G669" s="80"/>
      <c r="H669" s="4"/>
      <c r="I669" s="76"/>
      <c r="J669" s="78"/>
      <c r="K669" s="78"/>
      <c r="L669" s="78"/>
      <c r="M669" s="78"/>
      <c r="N669" s="81"/>
      <c r="O669" s="78"/>
      <c r="P669" s="82"/>
      <c r="Q669" s="4"/>
      <c r="R669" s="78"/>
      <c r="S669" s="83"/>
      <c r="T669" s="4"/>
      <c r="U669" s="77"/>
    </row>
    <row r="670" spans="1:21" ht="18.75" customHeight="1" x14ac:dyDescent="0.2">
      <c r="A670" s="76"/>
      <c r="B670" s="77"/>
      <c r="C670" s="78"/>
      <c r="D670" s="79"/>
      <c r="E670" s="99"/>
      <c r="F670" s="78"/>
      <c r="G670" s="80"/>
      <c r="H670" s="4"/>
      <c r="I670" s="76"/>
      <c r="J670" s="78"/>
      <c r="K670" s="78"/>
      <c r="L670" s="78"/>
      <c r="M670" s="78"/>
      <c r="N670" s="81"/>
      <c r="O670" s="78"/>
      <c r="P670" s="82"/>
      <c r="Q670" s="4"/>
      <c r="R670" s="78"/>
      <c r="S670" s="83"/>
      <c r="T670" s="4"/>
      <c r="U670" s="77"/>
    </row>
    <row r="671" spans="1:21" ht="18.75" customHeight="1" x14ac:dyDescent="0.2">
      <c r="A671" s="76"/>
      <c r="B671" s="77"/>
      <c r="C671" s="78"/>
      <c r="D671" s="79"/>
      <c r="E671" s="99"/>
      <c r="F671" s="78"/>
      <c r="G671" s="80"/>
      <c r="H671" s="4"/>
      <c r="I671" s="76"/>
      <c r="J671" s="78"/>
      <c r="K671" s="78"/>
      <c r="L671" s="78"/>
      <c r="M671" s="78"/>
      <c r="N671" s="81"/>
      <c r="O671" s="78"/>
      <c r="P671" s="82"/>
      <c r="Q671" s="4"/>
      <c r="R671" s="78"/>
      <c r="S671" s="83"/>
      <c r="T671" s="4"/>
      <c r="U671" s="77"/>
    </row>
    <row r="672" spans="1:21" ht="18.75" customHeight="1" x14ac:dyDescent="0.2">
      <c r="A672" s="76"/>
      <c r="B672" s="77"/>
      <c r="C672" s="78"/>
      <c r="D672" s="79"/>
      <c r="E672" s="99"/>
      <c r="F672" s="78"/>
      <c r="G672" s="80"/>
      <c r="H672" s="4"/>
      <c r="I672" s="76"/>
      <c r="J672" s="78"/>
      <c r="K672" s="78"/>
      <c r="L672" s="78"/>
      <c r="M672" s="78"/>
      <c r="N672" s="81"/>
      <c r="O672" s="78"/>
      <c r="P672" s="82"/>
      <c r="Q672" s="4"/>
      <c r="R672" s="78"/>
      <c r="S672" s="83"/>
      <c r="T672" s="4"/>
      <c r="U672" s="77"/>
    </row>
    <row r="673" spans="1:21" ht="18.75" customHeight="1" x14ac:dyDescent="0.2">
      <c r="A673" s="76"/>
      <c r="B673" s="77"/>
      <c r="C673" s="78"/>
      <c r="D673" s="79"/>
      <c r="E673" s="99"/>
      <c r="F673" s="78"/>
      <c r="G673" s="80"/>
      <c r="H673" s="4"/>
      <c r="I673" s="76"/>
      <c r="J673" s="78"/>
      <c r="K673" s="78"/>
      <c r="L673" s="78"/>
      <c r="M673" s="78"/>
      <c r="N673" s="81"/>
      <c r="O673" s="78"/>
      <c r="P673" s="82"/>
      <c r="Q673" s="4"/>
      <c r="R673" s="78"/>
      <c r="S673" s="83"/>
      <c r="T673" s="4"/>
      <c r="U673" s="77"/>
    </row>
    <row r="674" spans="1:21" ht="18.75" customHeight="1" x14ac:dyDescent="0.2">
      <c r="A674" s="76"/>
      <c r="B674" s="77"/>
      <c r="C674" s="78"/>
      <c r="D674" s="79"/>
      <c r="E674" s="99"/>
      <c r="F674" s="78"/>
      <c r="G674" s="80"/>
      <c r="H674" s="4"/>
      <c r="I674" s="76"/>
      <c r="J674" s="78"/>
      <c r="K674" s="78"/>
      <c r="L674" s="78"/>
      <c r="M674" s="78"/>
      <c r="N674" s="81"/>
      <c r="O674" s="78"/>
      <c r="P674" s="82"/>
      <c r="Q674" s="4"/>
      <c r="R674" s="78"/>
      <c r="S674" s="83"/>
      <c r="T674" s="4"/>
      <c r="U674" s="77"/>
    </row>
    <row r="675" spans="1:21" ht="18.75" customHeight="1" x14ac:dyDescent="0.2">
      <c r="A675" s="76"/>
      <c r="B675" s="77"/>
      <c r="C675" s="78"/>
      <c r="D675" s="79"/>
      <c r="E675" s="99"/>
      <c r="F675" s="78"/>
      <c r="G675" s="80"/>
      <c r="H675" s="4"/>
      <c r="I675" s="76"/>
      <c r="J675" s="78"/>
      <c r="K675" s="78"/>
      <c r="L675" s="78"/>
      <c r="M675" s="78"/>
      <c r="N675" s="81"/>
      <c r="O675" s="78"/>
      <c r="P675" s="82"/>
      <c r="Q675" s="4"/>
      <c r="R675" s="78"/>
      <c r="S675" s="83"/>
      <c r="T675" s="4"/>
      <c r="U675" s="77"/>
    </row>
    <row r="676" spans="1:21" ht="18.75" customHeight="1" x14ac:dyDescent="0.2">
      <c r="A676" s="76"/>
      <c r="B676" s="77"/>
      <c r="C676" s="78"/>
      <c r="D676" s="79"/>
      <c r="E676" s="99"/>
      <c r="F676" s="78"/>
      <c r="G676" s="80"/>
      <c r="H676" s="4"/>
      <c r="I676" s="76"/>
      <c r="J676" s="78"/>
      <c r="K676" s="78"/>
      <c r="L676" s="78"/>
      <c r="M676" s="78"/>
      <c r="N676" s="81"/>
      <c r="O676" s="78"/>
      <c r="P676" s="82"/>
      <c r="Q676" s="4"/>
      <c r="R676" s="78"/>
      <c r="S676" s="83"/>
      <c r="T676" s="4"/>
      <c r="U676" s="77"/>
    </row>
    <row r="677" spans="1:21" ht="18.75" customHeight="1" x14ac:dyDescent="0.2">
      <c r="A677" s="76"/>
      <c r="B677" s="77"/>
      <c r="C677" s="78"/>
      <c r="D677" s="79"/>
      <c r="E677" s="99"/>
      <c r="F677" s="78"/>
      <c r="G677" s="80"/>
      <c r="H677" s="4"/>
      <c r="I677" s="76"/>
      <c r="J677" s="78"/>
      <c r="K677" s="78"/>
      <c r="L677" s="78"/>
      <c r="M677" s="78"/>
      <c r="N677" s="81"/>
      <c r="O677" s="78"/>
      <c r="P677" s="82"/>
      <c r="Q677" s="4"/>
      <c r="R677" s="78"/>
      <c r="S677" s="83"/>
      <c r="T677" s="4"/>
      <c r="U677" s="77"/>
    </row>
    <row r="678" spans="1:21" ht="18.75" customHeight="1" x14ac:dyDescent="0.2">
      <c r="A678" s="76"/>
      <c r="B678" s="77"/>
      <c r="C678" s="78"/>
      <c r="D678" s="79"/>
      <c r="E678" s="99"/>
      <c r="F678" s="78"/>
      <c r="G678" s="80"/>
      <c r="H678" s="4"/>
      <c r="I678" s="76"/>
      <c r="J678" s="78"/>
      <c r="K678" s="78"/>
      <c r="L678" s="78"/>
      <c r="M678" s="78"/>
      <c r="N678" s="81"/>
      <c r="O678" s="78"/>
      <c r="P678" s="82"/>
      <c r="Q678" s="4"/>
      <c r="R678" s="78"/>
      <c r="S678" s="83"/>
      <c r="T678" s="4"/>
      <c r="U678" s="77"/>
    </row>
    <row r="679" spans="1:21" ht="18.75" customHeight="1" x14ac:dyDescent="0.2">
      <c r="A679" s="76"/>
      <c r="B679" s="77"/>
      <c r="C679" s="78"/>
      <c r="D679" s="79"/>
      <c r="E679" s="99"/>
      <c r="F679" s="78"/>
      <c r="G679" s="80"/>
      <c r="H679" s="4"/>
      <c r="I679" s="76"/>
      <c r="J679" s="78"/>
      <c r="K679" s="78"/>
      <c r="L679" s="78"/>
      <c r="M679" s="78"/>
      <c r="N679" s="81"/>
      <c r="O679" s="78"/>
      <c r="P679" s="82"/>
      <c r="Q679" s="4"/>
      <c r="R679" s="78"/>
      <c r="S679" s="83"/>
      <c r="T679" s="4"/>
      <c r="U679" s="77"/>
    </row>
    <row r="680" spans="1:21" ht="18.75" customHeight="1" x14ac:dyDescent="0.2">
      <c r="A680" s="76"/>
      <c r="B680" s="77"/>
      <c r="C680" s="78"/>
      <c r="D680" s="79"/>
      <c r="E680" s="99"/>
      <c r="F680" s="78"/>
      <c r="G680" s="80"/>
      <c r="H680" s="4"/>
      <c r="I680" s="76"/>
      <c r="J680" s="78"/>
      <c r="K680" s="78"/>
      <c r="L680" s="78"/>
      <c r="M680" s="78"/>
      <c r="N680" s="81"/>
      <c r="O680" s="78"/>
      <c r="P680" s="82"/>
      <c r="Q680" s="4"/>
      <c r="R680" s="78"/>
      <c r="S680" s="83"/>
      <c r="T680" s="4"/>
      <c r="U680" s="77"/>
    </row>
    <row r="681" spans="1:21" ht="18.75" customHeight="1" x14ac:dyDescent="0.2">
      <c r="A681" s="76"/>
      <c r="B681" s="77"/>
      <c r="C681" s="78"/>
      <c r="D681" s="79"/>
      <c r="E681" s="99"/>
      <c r="F681" s="78"/>
      <c r="G681" s="80"/>
      <c r="H681" s="4"/>
      <c r="I681" s="76"/>
      <c r="J681" s="78"/>
      <c r="K681" s="78"/>
      <c r="L681" s="78"/>
      <c r="M681" s="78"/>
      <c r="N681" s="81"/>
      <c r="O681" s="78"/>
      <c r="P681" s="82"/>
      <c r="Q681" s="4"/>
      <c r="R681" s="78"/>
      <c r="S681" s="83"/>
      <c r="T681" s="4"/>
      <c r="U681" s="77"/>
    </row>
    <row r="682" spans="1:21" ht="18.75" customHeight="1" x14ac:dyDescent="0.2">
      <c r="A682" s="76"/>
      <c r="B682" s="77"/>
      <c r="C682" s="78"/>
      <c r="D682" s="79"/>
      <c r="E682" s="99"/>
      <c r="F682" s="78"/>
      <c r="G682" s="80"/>
      <c r="H682" s="4"/>
      <c r="I682" s="76"/>
      <c r="J682" s="78"/>
      <c r="K682" s="78"/>
      <c r="L682" s="78"/>
      <c r="M682" s="78"/>
      <c r="N682" s="81"/>
      <c r="O682" s="78"/>
      <c r="P682" s="82"/>
      <c r="Q682" s="4"/>
      <c r="R682" s="78"/>
      <c r="S682" s="83"/>
      <c r="T682" s="4"/>
      <c r="U682" s="77"/>
    </row>
    <row r="683" spans="1:21" ht="18.75" customHeight="1" x14ac:dyDescent="0.2">
      <c r="A683" s="76"/>
      <c r="B683" s="77"/>
      <c r="C683" s="78"/>
      <c r="D683" s="79"/>
      <c r="E683" s="99"/>
      <c r="F683" s="78"/>
      <c r="G683" s="80"/>
      <c r="H683" s="4"/>
      <c r="I683" s="76"/>
      <c r="J683" s="78"/>
      <c r="K683" s="78"/>
      <c r="L683" s="78"/>
      <c r="M683" s="78"/>
      <c r="N683" s="81"/>
      <c r="O683" s="78"/>
      <c r="P683" s="82"/>
      <c r="Q683" s="4"/>
      <c r="R683" s="78"/>
      <c r="S683" s="83"/>
      <c r="T683" s="4"/>
      <c r="U683" s="77"/>
    </row>
    <row r="684" spans="1:21" ht="18.75" customHeight="1" x14ac:dyDescent="0.2">
      <c r="A684" s="76"/>
      <c r="B684" s="77"/>
      <c r="C684" s="78"/>
      <c r="D684" s="79"/>
      <c r="E684" s="99"/>
      <c r="F684" s="78"/>
      <c r="G684" s="80"/>
      <c r="H684" s="4"/>
      <c r="I684" s="76"/>
      <c r="J684" s="78"/>
      <c r="K684" s="78"/>
      <c r="L684" s="78"/>
      <c r="M684" s="78"/>
      <c r="N684" s="81"/>
      <c r="O684" s="78"/>
      <c r="P684" s="82"/>
      <c r="Q684" s="4"/>
      <c r="R684" s="78"/>
      <c r="S684" s="83"/>
      <c r="T684" s="4"/>
      <c r="U684" s="77"/>
    </row>
    <row r="685" spans="1:21" ht="18.75" customHeight="1" x14ac:dyDescent="0.2">
      <c r="A685" s="76"/>
      <c r="B685" s="77"/>
      <c r="C685" s="78"/>
      <c r="D685" s="79"/>
      <c r="E685" s="99"/>
      <c r="F685" s="78"/>
      <c r="G685" s="80"/>
      <c r="H685" s="4"/>
      <c r="I685" s="76"/>
      <c r="J685" s="78"/>
      <c r="K685" s="78"/>
      <c r="L685" s="78"/>
      <c r="M685" s="78"/>
      <c r="N685" s="81"/>
      <c r="O685" s="78"/>
      <c r="P685" s="82"/>
      <c r="Q685" s="4"/>
      <c r="R685" s="78"/>
      <c r="S685" s="83"/>
      <c r="T685" s="4"/>
      <c r="U685" s="77"/>
    </row>
    <row r="686" spans="1:21" ht="18.75" customHeight="1" x14ac:dyDescent="0.2">
      <c r="A686" s="76"/>
      <c r="B686" s="77"/>
      <c r="C686" s="78"/>
      <c r="D686" s="79"/>
      <c r="E686" s="99"/>
      <c r="F686" s="78"/>
      <c r="G686" s="80"/>
      <c r="H686" s="4"/>
      <c r="I686" s="76"/>
      <c r="J686" s="78"/>
      <c r="K686" s="78"/>
      <c r="L686" s="78"/>
      <c r="M686" s="78"/>
      <c r="N686" s="81"/>
      <c r="O686" s="78"/>
      <c r="P686" s="82"/>
      <c r="Q686" s="4"/>
      <c r="R686" s="78"/>
      <c r="S686" s="83"/>
      <c r="T686" s="4"/>
      <c r="U686" s="77"/>
    </row>
    <row r="687" spans="1:21" ht="18.75" customHeight="1" x14ac:dyDescent="0.2">
      <c r="A687" s="76"/>
      <c r="B687" s="77"/>
      <c r="C687" s="78"/>
      <c r="D687" s="79"/>
      <c r="E687" s="99"/>
      <c r="F687" s="78"/>
      <c r="G687" s="80"/>
      <c r="H687" s="4"/>
      <c r="I687" s="76"/>
      <c r="J687" s="78"/>
      <c r="K687" s="78"/>
      <c r="L687" s="78"/>
      <c r="M687" s="78"/>
      <c r="N687" s="81"/>
      <c r="O687" s="78"/>
      <c r="P687" s="82"/>
      <c r="Q687" s="4"/>
      <c r="R687" s="78"/>
      <c r="S687" s="83"/>
      <c r="T687" s="4"/>
      <c r="U687" s="77"/>
    </row>
    <row r="688" spans="1:21" ht="18.75" customHeight="1" x14ac:dyDescent="0.2">
      <c r="A688" s="76"/>
      <c r="B688" s="77"/>
      <c r="C688" s="78"/>
      <c r="D688" s="79"/>
      <c r="E688" s="99"/>
      <c r="F688" s="78"/>
      <c r="G688" s="80"/>
      <c r="H688" s="4"/>
      <c r="I688" s="76"/>
      <c r="J688" s="78"/>
      <c r="K688" s="78"/>
      <c r="L688" s="78"/>
      <c r="M688" s="78"/>
      <c r="N688" s="81"/>
      <c r="O688" s="78"/>
      <c r="P688" s="82"/>
      <c r="Q688" s="4"/>
      <c r="R688" s="78"/>
      <c r="S688" s="83"/>
      <c r="T688" s="4"/>
      <c r="U688" s="77"/>
    </row>
    <row r="689" spans="1:21" ht="18.75" customHeight="1" x14ac:dyDescent="0.2">
      <c r="A689" s="76"/>
      <c r="B689" s="77"/>
      <c r="C689" s="78"/>
      <c r="D689" s="79"/>
      <c r="E689" s="99"/>
      <c r="F689" s="78"/>
      <c r="G689" s="80"/>
      <c r="H689" s="4"/>
      <c r="I689" s="76"/>
      <c r="J689" s="78"/>
      <c r="K689" s="78"/>
      <c r="L689" s="78"/>
      <c r="M689" s="78"/>
      <c r="N689" s="81"/>
      <c r="O689" s="78"/>
      <c r="P689" s="82"/>
      <c r="Q689" s="4"/>
      <c r="R689" s="78"/>
      <c r="S689" s="83"/>
      <c r="T689" s="4"/>
      <c r="U689" s="77"/>
    </row>
    <row r="690" spans="1:21" ht="18.75" customHeight="1" x14ac:dyDescent="0.2">
      <c r="A690" s="76"/>
      <c r="B690" s="77"/>
      <c r="C690" s="78"/>
      <c r="D690" s="79"/>
      <c r="E690" s="99"/>
      <c r="F690" s="78"/>
      <c r="G690" s="80"/>
      <c r="H690" s="4"/>
      <c r="I690" s="76"/>
      <c r="J690" s="78"/>
      <c r="K690" s="78"/>
      <c r="L690" s="78"/>
      <c r="M690" s="78"/>
      <c r="N690" s="81"/>
      <c r="O690" s="78"/>
      <c r="P690" s="82"/>
      <c r="Q690" s="4"/>
      <c r="R690" s="78"/>
      <c r="S690" s="83"/>
      <c r="T690" s="4"/>
      <c r="U690" s="77"/>
    </row>
    <row r="691" spans="1:21" ht="18.75" customHeight="1" x14ac:dyDescent="0.2">
      <c r="A691" s="76"/>
      <c r="B691" s="77"/>
      <c r="C691" s="78"/>
      <c r="D691" s="79"/>
      <c r="E691" s="99"/>
      <c r="F691" s="78"/>
      <c r="G691" s="80"/>
      <c r="H691" s="4"/>
      <c r="I691" s="76"/>
      <c r="J691" s="78"/>
      <c r="K691" s="78"/>
      <c r="L691" s="78"/>
      <c r="M691" s="78"/>
      <c r="N691" s="81"/>
      <c r="O691" s="78"/>
      <c r="P691" s="82"/>
      <c r="Q691" s="4"/>
      <c r="R691" s="78"/>
      <c r="S691" s="83"/>
      <c r="T691" s="4"/>
      <c r="U691" s="77"/>
    </row>
    <row r="692" spans="1:21" ht="18.75" customHeight="1" x14ac:dyDescent="0.2">
      <c r="A692" s="76"/>
      <c r="B692" s="77"/>
      <c r="C692" s="78"/>
      <c r="D692" s="79"/>
      <c r="E692" s="99"/>
      <c r="F692" s="78"/>
      <c r="G692" s="80"/>
      <c r="H692" s="4"/>
      <c r="I692" s="76"/>
      <c r="J692" s="78"/>
      <c r="K692" s="78"/>
      <c r="L692" s="78"/>
      <c r="M692" s="78"/>
      <c r="N692" s="81"/>
      <c r="O692" s="78"/>
      <c r="P692" s="82"/>
      <c r="Q692" s="4"/>
      <c r="R692" s="78"/>
      <c r="S692" s="83"/>
      <c r="T692" s="4"/>
      <c r="U692" s="77"/>
    </row>
    <row r="693" spans="1:21" ht="18.75" customHeight="1" x14ac:dyDescent="0.2">
      <c r="A693" s="76"/>
      <c r="B693" s="77"/>
      <c r="C693" s="78"/>
      <c r="D693" s="79"/>
      <c r="E693" s="99"/>
      <c r="F693" s="78"/>
      <c r="G693" s="80"/>
      <c r="H693" s="4"/>
      <c r="I693" s="76"/>
      <c r="J693" s="78"/>
      <c r="K693" s="78"/>
      <c r="L693" s="78"/>
      <c r="M693" s="78"/>
      <c r="N693" s="81"/>
      <c r="O693" s="78"/>
      <c r="P693" s="82"/>
      <c r="Q693" s="4"/>
      <c r="R693" s="78"/>
      <c r="S693" s="83"/>
      <c r="T693" s="4"/>
      <c r="U693" s="77"/>
    </row>
    <row r="694" spans="1:21" ht="18.75" customHeight="1" x14ac:dyDescent="0.2">
      <c r="A694" s="76"/>
      <c r="B694" s="77"/>
      <c r="C694" s="78"/>
      <c r="D694" s="79"/>
      <c r="E694" s="99"/>
      <c r="F694" s="78"/>
      <c r="G694" s="80"/>
      <c r="H694" s="4"/>
      <c r="I694" s="76"/>
      <c r="J694" s="78"/>
      <c r="K694" s="78"/>
      <c r="L694" s="78"/>
      <c r="M694" s="78"/>
      <c r="N694" s="81"/>
      <c r="O694" s="78"/>
      <c r="P694" s="82"/>
      <c r="Q694" s="4"/>
      <c r="R694" s="78"/>
      <c r="S694" s="83"/>
      <c r="T694" s="4"/>
      <c r="U694" s="77"/>
    </row>
    <row r="695" spans="1:21" ht="18.75" customHeight="1" x14ac:dyDescent="0.2">
      <c r="A695" s="76"/>
      <c r="B695" s="77"/>
      <c r="C695" s="78"/>
      <c r="D695" s="79"/>
      <c r="E695" s="99"/>
      <c r="F695" s="78"/>
      <c r="G695" s="80"/>
      <c r="H695" s="4"/>
      <c r="I695" s="76"/>
      <c r="J695" s="78"/>
      <c r="K695" s="78"/>
      <c r="L695" s="78"/>
      <c r="M695" s="78"/>
      <c r="N695" s="81"/>
      <c r="O695" s="78"/>
      <c r="P695" s="82"/>
      <c r="Q695" s="4"/>
      <c r="R695" s="78"/>
      <c r="S695" s="83"/>
      <c r="T695" s="4"/>
      <c r="U695" s="77"/>
    </row>
    <row r="696" spans="1:21" ht="18.75" customHeight="1" x14ac:dyDescent="0.2">
      <c r="A696" s="76"/>
      <c r="B696" s="77"/>
      <c r="C696" s="78"/>
      <c r="D696" s="79"/>
      <c r="E696" s="99"/>
      <c r="F696" s="78"/>
      <c r="G696" s="80"/>
      <c r="H696" s="4"/>
      <c r="I696" s="76"/>
      <c r="J696" s="78"/>
      <c r="K696" s="78"/>
      <c r="L696" s="78"/>
      <c r="M696" s="78"/>
      <c r="N696" s="81"/>
      <c r="O696" s="78"/>
      <c r="P696" s="82"/>
      <c r="Q696" s="4"/>
      <c r="R696" s="78"/>
      <c r="S696" s="83"/>
      <c r="T696" s="4"/>
      <c r="U696" s="77"/>
    </row>
    <row r="697" spans="1:21" ht="18.75" customHeight="1" x14ac:dyDescent="0.2">
      <c r="A697" s="76"/>
      <c r="B697" s="77"/>
      <c r="C697" s="78"/>
      <c r="D697" s="79"/>
      <c r="E697" s="99"/>
      <c r="F697" s="78"/>
      <c r="G697" s="80"/>
      <c r="H697" s="4"/>
      <c r="I697" s="76"/>
      <c r="J697" s="78"/>
      <c r="K697" s="78"/>
      <c r="L697" s="78"/>
      <c r="M697" s="78"/>
      <c r="N697" s="81"/>
      <c r="O697" s="78"/>
      <c r="P697" s="82"/>
      <c r="Q697" s="4"/>
      <c r="R697" s="78"/>
      <c r="S697" s="83"/>
      <c r="T697" s="4"/>
      <c r="U697" s="77"/>
    </row>
    <row r="698" spans="1:21" ht="18.75" customHeight="1" x14ac:dyDescent="0.2">
      <c r="A698" s="76"/>
      <c r="B698" s="77"/>
      <c r="C698" s="78"/>
      <c r="D698" s="79"/>
      <c r="E698" s="99"/>
      <c r="F698" s="78"/>
      <c r="G698" s="80"/>
      <c r="H698" s="4"/>
      <c r="I698" s="76"/>
      <c r="J698" s="78"/>
      <c r="K698" s="78"/>
      <c r="L698" s="78"/>
      <c r="M698" s="78"/>
      <c r="N698" s="81"/>
      <c r="O698" s="78"/>
      <c r="P698" s="82"/>
      <c r="Q698" s="4"/>
      <c r="R698" s="78"/>
      <c r="S698" s="83"/>
      <c r="T698" s="4"/>
      <c r="U698" s="77"/>
    </row>
    <row r="699" spans="1:21" ht="18.75" customHeight="1" x14ac:dyDescent="0.2">
      <c r="A699" s="76"/>
      <c r="B699" s="77"/>
      <c r="C699" s="78"/>
      <c r="D699" s="79"/>
      <c r="E699" s="99"/>
      <c r="F699" s="78"/>
      <c r="G699" s="80"/>
      <c r="H699" s="4"/>
      <c r="I699" s="76"/>
      <c r="J699" s="78"/>
      <c r="K699" s="78"/>
      <c r="L699" s="78"/>
      <c r="M699" s="78"/>
      <c r="N699" s="81"/>
      <c r="O699" s="78"/>
      <c r="P699" s="82"/>
      <c r="Q699" s="4"/>
      <c r="R699" s="78"/>
      <c r="S699" s="83"/>
      <c r="T699" s="4"/>
      <c r="U699" s="77"/>
    </row>
    <row r="700" spans="1:21" ht="18.75" customHeight="1" x14ac:dyDescent="0.2">
      <c r="A700" s="76"/>
      <c r="B700" s="77"/>
      <c r="C700" s="78"/>
      <c r="D700" s="79"/>
      <c r="E700" s="99"/>
      <c r="F700" s="78"/>
      <c r="G700" s="80"/>
      <c r="H700" s="4"/>
      <c r="I700" s="76"/>
      <c r="J700" s="78"/>
      <c r="K700" s="78"/>
      <c r="L700" s="78"/>
      <c r="M700" s="78"/>
      <c r="N700" s="81"/>
      <c r="O700" s="78"/>
      <c r="P700" s="82"/>
      <c r="Q700" s="4"/>
      <c r="R700" s="78"/>
      <c r="S700" s="83"/>
      <c r="T700" s="4"/>
      <c r="U700" s="77"/>
    </row>
    <row r="701" spans="1:21" ht="18.75" customHeight="1" x14ac:dyDescent="0.2">
      <c r="A701" s="76"/>
      <c r="B701" s="77"/>
      <c r="C701" s="78"/>
      <c r="D701" s="79"/>
      <c r="E701" s="99"/>
      <c r="F701" s="78"/>
      <c r="G701" s="80"/>
      <c r="H701" s="4"/>
      <c r="I701" s="76"/>
      <c r="J701" s="78"/>
      <c r="K701" s="78"/>
      <c r="L701" s="78"/>
      <c r="M701" s="78"/>
      <c r="N701" s="81"/>
      <c r="O701" s="78"/>
      <c r="P701" s="82"/>
      <c r="Q701" s="4"/>
      <c r="R701" s="78"/>
      <c r="S701" s="83"/>
      <c r="T701" s="4"/>
      <c r="U701" s="77"/>
    </row>
    <row r="702" spans="1:21" ht="18.75" customHeight="1" x14ac:dyDescent="0.2">
      <c r="A702" s="76"/>
      <c r="B702" s="77"/>
      <c r="C702" s="78"/>
      <c r="D702" s="79"/>
      <c r="E702" s="99"/>
      <c r="F702" s="78"/>
      <c r="G702" s="80"/>
      <c r="H702" s="4"/>
      <c r="I702" s="76"/>
      <c r="J702" s="78"/>
      <c r="K702" s="78"/>
      <c r="L702" s="78"/>
      <c r="M702" s="78"/>
      <c r="N702" s="81"/>
      <c r="O702" s="78"/>
      <c r="P702" s="82"/>
      <c r="Q702" s="4"/>
      <c r="R702" s="78"/>
      <c r="S702" s="83"/>
      <c r="T702" s="4"/>
      <c r="U702" s="77"/>
    </row>
    <row r="703" spans="1:21" ht="18.75" customHeight="1" x14ac:dyDescent="0.2">
      <c r="A703" s="76"/>
      <c r="B703" s="77"/>
      <c r="C703" s="78"/>
      <c r="D703" s="79"/>
      <c r="E703" s="99"/>
      <c r="F703" s="78"/>
      <c r="G703" s="80"/>
      <c r="H703" s="4"/>
      <c r="I703" s="76"/>
      <c r="J703" s="78"/>
      <c r="K703" s="78"/>
      <c r="L703" s="78"/>
      <c r="M703" s="78"/>
      <c r="N703" s="81"/>
      <c r="O703" s="78"/>
      <c r="P703" s="82"/>
      <c r="Q703" s="4"/>
      <c r="R703" s="78"/>
      <c r="S703" s="83"/>
      <c r="T703" s="4"/>
      <c r="U703" s="77"/>
    </row>
    <row r="704" spans="1:21" ht="18.75" customHeight="1" x14ac:dyDescent="0.2">
      <c r="A704" s="76"/>
      <c r="B704" s="77"/>
      <c r="C704" s="78"/>
      <c r="D704" s="79"/>
      <c r="E704" s="99"/>
      <c r="F704" s="78"/>
      <c r="G704" s="80"/>
      <c r="H704" s="4"/>
      <c r="I704" s="76"/>
      <c r="J704" s="78"/>
      <c r="K704" s="78"/>
      <c r="L704" s="78"/>
      <c r="M704" s="78"/>
      <c r="N704" s="81"/>
      <c r="O704" s="78"/>
      <c r="P704" s="82"/>
      <c r="Q704" s="4"/>
      <c r="R704" s="78"/>
      <c r="S704" s="83"/>
      <c r="T704" s="4"/>
      <c r="U704" s="77"/>
    </row>
    <row r="705" spans="1:21" ht="18.75" customHeight="1" x14ac:dyDescent="0.2">
      <c r="A705" s="76"/>
      <c r="B705" s="77"/>
      <c r="C705" s="78"/>
      <c r="D705" s="79"/>
      <c r="E705" s="99"/>
      <c r="F705" s="78"/>
      <c r="G705" s="80"/>
      <c r="H705" s="4"/>
      <c r="I705" s="76"/>
      <c r="J705" s="78"/>
      <c r="K705" s="78"/>
      <c r="L705" s="78"/>
      <c r="M705" s="78"/>
      <c r="N705" s="81"/>
      <c r="O705" s="78"/>
      <c r="P705" s="82"/>
      <c r="Q705" s="4"/>
      <c r="R705" s="78"/>
      <c r="S705" s="83"/>
      <c r="T705" s="4"/>
      <c r="U705" s="77"/>
    </row>
    <row r="706" spans="1:21" ht="18.75" customHeight="1" x14ac:dyDescent="0.2">
      <c r="A706" s="76"/>
      <c r="B706" s="77"/>
      <c r="C706" s="78"/>
      <c r="D706" s="79"/>
      <c r="E706" s="99"/>
      <c r="F706" s="78"/>
      <c r="G706" s="80"/>
      <c r="H706" s="4"/>
      <c r="I706" s="76"/>
      <c r="J706" s="78"/>
      <c r="K706" s="78"/>
      <c r="L706" s="78"/>
      <c r="M706" s="78"/>
      <c r="N706" s="81"/>
      <c r="O706" s="78"/>
      <c r="P706" s="82"/>
      <c r="Q706" s="4"/>
      <c r="R706" s="78"/>
      <c r="S706" s="83"/>
      <c r="T706" s="4"/>
      <c r="U706" s="77"/>
    </row>
    <row r="707" spans="1:21" ht="18.75" customHeight="1" x14ac:dyDescent="0.2">
      <c r="A707" s="76"/>
      <c r="B707" s="77"/>
      <c r="C707" s="78"/>
      <c r="D707" s="79"/>
      <c r="E707" s="99"/>
      <c r="F707" s="78"/>
      <c r="G707" s="80"/>
      <c r="H707" s="4"/>
      <c r="I707" s="76"/>
      <c r="J707" s="78"/>
      <c r="K707" s="78"/>
      <c r="L707" s="78"/>
      <c r="M707" s="78"/>
      <c r="N707" s="81"/>
      <c r="O707" s="78"/>
      <c r="P707" s="82"/>
      <c r="Q707" s="4"/>
      <c r="R707" s="78"/>
      <c r="S707" s="83"/>
      <c r="T707" s="4"/>
      <c r="U707" s="77"/>
    </row>
    <row r="708" spans="1:21" ht="18.75" customHeight="1" x14ac:dyDescent="0.2">
      <c r="A708" s="76"/>
      <c r="B708" s="77"/>
      <c r="C708" s="78"/>
      <c r="D708" s="79"/>
      <c r="E708" s="99"/>
      <c r="F708" s="78"/>
      <c r="G708" s="80"/>
      <c r="H708" s="4"/>
      <c r="I708" s="76"/>
      <c r="J708" s="78"/>
      <c r="K708" s="78"/>
      <c r="L708" s="78"/>
      <c r="M708" s="78"/>
      <c r="N708" s="81"/>
      <c r="O708" s="78"/>
      <c r="P708" s="82"/>
      <c r="Q708" s="4"/>
      <c r="R708" s="78"/>
      <c r="S708" s="83"/>
      <c r="T708" s="4"/>
      <c r="U708" s="77"/>
    </row>
    <row r="709" spans="1:21" ht="18.75" customHeight="1" x14ac:dyDescent="0.2">
      <c r="A709" s="76"/>
      <c r="B709" s="77"/>
      <c r="C709" s="78"/>
      <c r="D709" s="79"/>
      <c r="E709" s="99"/>
      <c r="F709" s="78"/>
      <c r="G709" s="80"/>
      <c r="H709" s="4"/>
      <c r="I709" s="76"/>
      <c r="J709" s="78"/>
      <c r="K709" s="78"/>
      <c r="L709" s="78"/>
      <c r="M709" s="78"/>
      <c r="N709" s="81"/>
      <c r="O709" s="78"/>
      <c r="P709" s="82"/>
      <c r="Q709" s="4"/>
      <c r="R709" s="78"/>
      <c r="S709" s="83"/>
      <c r="T709" s="4"/>
      <c r="U709" s="77"/>
    </row>
    <row r="710" spans="1:21" ht="18.75" customHeight="1" x14ac:dyDescent="0.2">
      <c r="A710" s="76"/>
      <c r="B710" s="77"/>
      <c r="C710" s="78"/>
      <c r="D710" s="79"/>
      <c r="E710" s="99"/>
      <c r="F710" s="78"/>
      <c r="G710" s="80"/>
      <c r="H710" s="4"/>
      <c r="I710" s="76"/>
      <c r="J710" s="78"/>
      <c r="K710" s="78"/>
      <c r="L710" s="78"/>
      <c r="M710" s="78"/>
      <c r="N710" s="81"/>
      <c r="O710" s="78"/>
      <c r="P710" s="82"/>
      <c r="Q710" s="4"/>
      <c r="R710" s="78"/>
      <c r="S710" s="83"/>
      <c r="T710" s="4"/>
      <c r="U710" s="77"/>
    </row>
    <row r="711" spans="1:21" ht="18.75" customHeight="1" x14ac:dyDescent="0.2">
      <c r="A711" s="76"/>
      <c r="B711" s="77"/>
      <c r="C711" s="78"/>
      <c r="D711" s="79"/>
      <c r="E711" s="99"/>
      <c r="F711" s="78"/>
      <c r="G711" s="80"/>
      <c r="H711" s="4"/>
      <c r="I711" s="76"/>
      <c r="J711" s="78"/>
      <c r="K711" s="78"/>
      <c r="L711" s="78"/>
      <c r="M711" s="78"/>
      <c r="N711" s="81"/>
      <c r="O711" s="78"/>
      <c r="P711" s="82"/>
      <c r="Q711" s="4"/>
      <c r="R711" s="78"/>
      <c r="S711" s="83"/>
      <c r="T711" s="4"/>
      <c r="U711" s="77"/>
    </row>
    <row r="712" spans="1:21" ht="18.75" customHeight="1" x14ac:dyDescent="0.2">
      <c r="A712" s="76"/>
      <c r="B712" s="77"/>
      <c r="C712" s="78"/>
      <c r="D712" s="79"/>
      <c r="E712" s="99"/>
      <c r="F712" s="78"/>
      <c r="G712" s="80"/>
      <c r="H712" s="4"/>
      <c r="I712" s="76"/>
      <c r="J712" s="78"/>
      <c r="K712" s="78"/>
      <c r="L712" s="78"/>
      <c r="M712" s="78"/>
      <c r="N712" s="81"/>
      <c r="O712" s="78"/>
      <c r="P712" s="82"/>
      <c r="Q712" s="4"/>
      <c r="R712" s="78"/>
      <c r="S712" s="83"/>
      <c r="T712" s="4"/>
      <c r="U712" s="77"/>
    </row>
    <row r="713" spans="1:21" ht="18.75" customHeight="1" x14ac:dyDescent="0.2">
      <c r="A713" s="76"/>
      <c r="B713" s="77"/>
      <c r="C713" s="78"/>
      <c r="D713" s="79"/>
      <c r="E713" s="99"/>
      <c r="F713" s="78"/>
      <c r="G713" s="80"/>
      <c r="H713" s="4"/>
      <c r="I713" s="76"/>
      <c r="J713" s="78"/>
      <c r="K713" s="78"/>
      <c r="L713" s="78"/>
      <c r="M713" s="78"/>
      <c r="N713" s="81"/>
      <c r="O713" s="78"/>
      <c r="P713" s="82"/>
      <c r="Q713" s="4"/>
      <c r="R713" s="78"/>
      <c r="S713" s="83"/>
      <c r="T713" s="4"/>
      <c r="U713" s="77"/>
    </row>
    <row r="714" spans="1:21" ht="18.75" customHeight="1" x14ac:dyDescent="0.2">
      <c r="A714" s="76"/>
      <c r="B714" s="77"/>
      <c r="C714" s="78"/>
      <c r="D714" s="79"/>
      <c r="E714" s="99"/>
      <c r="F714" s="78"/>
      <c r="G714" s="80"/>
      <c r="H714" s="4"/>
      <c r="I714" s="76"/>
      <c r="J714" s="78"/>
      <c r="K714" s="78"/>
      <c r="L714" s="78"/>
      <c r="M714" s="78"/>
      <c r="N714" s="81"/>
      <c r="O714" s="78"/>
      <c r="P714" s="82"/>
      <c r="Q714" s="4"/>
      <c r="R714" s="78"/>
      <c r="S714" s="83"/>
      <c r="T714" s="4"/>
      <c r="U714" s="77"/>
    </row>
    <row r="715" spans="1:21" ht="18.75" customHeight="1" x14ac:dyDescent="0.2">
      <c r="A715" s="76"/>
      <c r="B715" s="77"/>
      <c r="C715" s="78"/>
      <c r="D715" s="79"/>
      <c r="E715" s="99"/>
      <c r="F715" s="78"/>
      <c r="G715" s="80"/>
      <c r="H715" s="4"/>
      <c r="I715" s="76"/>
      <c r="J715" s="78"/>
      <c r="K715" s="78"/>
      <c r="L715" s="78"/>
      <c r="M715" s="78"/>
      <c r="N715" s="81"/>
      <c r="O715" s="78"/>
      <c r="P715" s="82"/>
      <c r="Q715" s="4"/>
      <c r="R715" s="78"/>
      <c r="S715" s="83"/>
      <c r="T715" s="4"/>
      <c r="U715" s="77"/>
    </row>
    <row r="716" spans="1:21" ht="18.75" customHeight="1" x14ac:dyDescent="0.2">
      <c r="A716" s="76"/>
      <c r="B716" s="77"/>
      <c r="C716" s="78"/>
      <c r="D716" s="79"/>
      <c r="E716" s="99"/>
      <c r="F716" s="78"/>
      <c r="G716" s="80"/>
      <c r="H716" s="4"/>
      <c r="I716" s="76"/>
      <c r="J716" s="78"/>
      <c r="K716" s="78"/>
      <c r="L716" s="78"/>
      <c r="M716" s="78"/>
      <c r="N716" s="81"/>
      <c r="O716" s="78"/>
      <c r="P716" s="82"/>
      <c r="Q716" s="4"/>
      <c r="R716" s="78"/>
      <c r="S716" s="83"/>
      <c r="T716" s="4"/>
      <c r="U716" s="77"/>
    </row>
    <row r="717" spans="1:21" ht="18.75" customHeight="1" x14ac:dyDescent="0.2">
      <c r="A717" s="76"/>
      <c r="B717" s="77"/>
      <c r="C717" s="78"/>
      <c r="D717" s="79"/>
      <c r="E717" s="99"/>
      <c r="F717" s="78"/>
      <c r="G717" s="80"/>
      <c r="H717" s="4"/>
      <c r="I717" s="76"/>
      <c r="J717" s="78"/>
      <c r="K717" s="78"/>
      <c r="L717" s="78"/>
      <c r="M717" s="78"/>
      <c r="N717" s="81"/>
      <c r="O717" s="78"/>
      <c r="P717" s="82"/>
      <c r="Q717" s="4"/>
      <c r="R717" s="78"/>
      <c r="S717" s="83"/>
      <c r="T717" s="4"/>
      <c r="U717" s="77"/>
    </row>
    <row r="718" spans="1:21" ht="18.75" customHeight="1" x14ac:dyDescent="0.2">
      <c r="A718" s="76"/>
      <c r="B718" s="77"/>
      <c r="C718" s="78"/>
      <c r="D718" s="79"/>
      <c r="E718" s="99"/>
      <c r="F718" s="78"/>
      <c r="G718" s="80"/>
      <c r="H718" s="4"/>
      <c r="I718" s="76"/>
      <c r="J718" s="78"/>
      <c r="K718" s="78"/>
      <c r="L718" s="78"/>
      <c r="M718" s="78"/>
      <c r="N718" s="81"/>
      <c r="O718" s="78"/>
      <c r="P718" s="82"/>
      <c r="Q718" s="4"/>
      <c r="R718" s="78"/>
      <c r="S718" s="83"/>
      <c r="T718" s="4"/>
      <c r="U718" s="77"/>
    </row>
    <row r="719" spans="1:21" ht="18.75" customHeight="1" x14ac:dyDescent="0.2">
      <c r="A719" s="76"/>
      <c r="B719" s="77"/>
      <c r="C719" s="78"/>
      <c r="D719" s="79"/>
      <c r="E719" s="99"/>
      <c r="F719" s="78"/>
      <c r="G719" s="80"/>
      <c r="H719" s="4"/>
      <c r="I719" s="76"/>
      <c r="J719" s="78"/>
      <c r="K719" s="78"/>
      <c r="L719" s="78"/>
      <c r="M719" s="78"/>
      <c r="N719" s="81"/>
      <c r="O719" s="78"/>
      <c r="P719" s="82"/>
      <c r="Q719" s="4"/>
      <c r="R719" s="78"/>
      <c r="S719" s="83"/>
      <c r="T719" s="4"/>
      <c r="U719" s="77"/>
    </row>
    <row r="720" spans="1:21" ht="18.75" customHeight="1" x14ac:dyDescent="0.2">
      <c r="A720" s="76"/>
      <c r="B720" s="77"/>
      <c r="C720" s="78"/>
      <c r="D720" s="79"/>
      <c r="E720" s="99"/>
      <c r="F720" s="78"/>
      <c r="G720" s="80"/>
      <c r="H720" s="4"/>
      <c r="I720" s="76"/>
      <c r="J720" s="78"/>
      <c r="K720" s="78"/>
      <c r="L720" s="78"/>
      <c r="M720" s="78"/>
      <c r="N720" s="81"/>
      <c r="O720" s="78"/>
      <c r="P720" s="82"/>
      <c r="Q720" s="4"/>
      <c r="R720" s="78"/>
      <c r="S720" s="83"/>
      <c r="T720" s="4"/>
      <c r="U720" s="77"/>
    </row>
    <row r="721" spans="1:21" ht="18.75" customHeight="1" x14ac:dyDescent="0.2">
      <c r="A721" s="76"/>
      <c r="B721" s="77"/>
      <c r="C721" s="78"/>
      <c r="D721" s="79"/>
      <c r="E721" s="99"/>
      <c r="F721" s="78"/>
      <c r="G721" s="80"/>
      <c r="H721" s="4"/>
      <c r="I721" s="76"/>
      <c r="J721" s="78"/>
      <c r="K721" s="78"/>
      <c r="L721" s="78"/>
      <c r="M721" s="78"/>
      <c r="N721" s="81"/>
      <c r="O721" s="78"/>
      <c r="P721" s="82"/>
      <c r="Q721" s="4"/>
      <c r="R721" s="78"/>
      <c r="S721" s="83"/>
      <c r="T721" s="4"/>
      <c r="U721" s="77"/>
    </row>
    <row r="722" spans="1:21" ht="18.75" customHeight="1" x14ac:dyDescent="0.2">
      <c r="A722" s="76"/>
      <c r="B722" s="77"/>
      <c r="C722" s="78"/>
      <c r="D722" s="79"/>
      <c r="E722" s="99"/>
      <c r="F722" s="78"/>
      <c r="G722" s="80"/>
      <c r="H722" s="4"/>
      <c r="I722" s="76"/>
      <c r="J722" s="78"/>
      <c r="K722" s="78"/>
      <c r="L722" s="78"/>
      <c r="M722" s="78"/>
      <c r="N722" s="81"/>
      <c r="O722" s="78"/>
      <c r="P722" s="82"/>
      <c r="Q722" s="4"/>
      <c r="R722" s="78"/>
      <c r="S722" s="83"/>
      <c r="T722" s="4"/>
      <c r="U722" s="77"/>
    </row>
    <row r="723" spans="1:21" ht="18.75" customHeight="1" x14ac:dyDescent="0.2">
      <c r="A723" s="76"/>
      <c r="B723" s="77"/>
      <c r="C723" s="78"/>
      <c r="D723" s="79"/>
      <c r="E723" s="99"/>
      <c r="F723" s="78"/>
      <c r="G723" s="80"/>
      <c r="H723" s="4"/>
      <c r="I723" s="76"/>
      <c r="J723" s="78"/>
      <c r="K723" s="78"/>
      <c r="L723" s="78"/>
      <c r="M723" s="78"/>
      <c r="N723" s="81"/>
      <c r="O723" s="78"/>
      <c r="P723" s="82"/>
      <c r="Q723" s="4"/>
      <c r="R723" s="78"/>
      <c r="S723" s="83"/>
      <c r="T723" s="4"/>
      <c r="U723" s="77"/>
    </row>
    <row r="724" spans="1:21" ht="18.75" customHeight="1" x14ac:dyDescent="0.2">
      <c r="A724" s="76"/>
      <c r="B724" s="77"/>
      <c r="C724" s="78"/>
      <c r="D724" s="79"/>
      <c r="E724" s="99"/>
      <c r="F724" s="78"/>
      <c r="G724" s="80"/>
      <c r="H724" s="4"/>
      <c r="I724" s="76"/>
      <c r="J724" s="78"/>
      <c r="K724" s="78"/>
      <c r="L724" s="78"/>
      <c r="M724" s="78"/>
      <c r="N724" s="81"/>
      <c r="O724" s="78"/>
      <c r="P724" s="82"/>
      <c r="Q724" s="4"/>
      <c r="R724" s="78"/>
      <c r="S724" s="83"/>
      <c r="T724" s="4"/>
      <c r="U724" s="77"/>
    </row>
    <row r="725" spans="1:21" ht="18.75" customHeight="1" x14ac:dyDescent="0.2">
      <c r="A725" s="76"/>
      <c r="B725" s="77"/>
      <c r="C725" s="78"/>
      <c r="D725" s="79"/>
      <c r="E725" s="99"/>
      <c r="F725" s="78"/>
      <c r="G725" s="80"/>
      <c r="H725" s="4"/>
      <c r="I725" s="76"/>
      <c r="J725" s="78"/>
      <c r="K725" s="78"/>
      <c r="L725" s="78"/>
      <c r="M725" s="78"/>
      <c r="N725" s="81"/>
      <c r="O725" s="78"/>
      <c r="P725" s="82"/>
      <c r="Q725" s="4"/>
      <c r="R725" s="78"/>
      <c r="S725" s="83"/>
      <c r="T725" s="4"/>
      <c r="U725" s="77"/>
    </row>
    <row r="726" spans="1:21" ht="18.75" customHeight="1" x14ac:dyDescent="0.2">
      <c r="A726" s="76"/>
      <c r="B726" s="77"/>
      <c r="C726" s="78"/>
      <c r="D726" s="79"/>
      <c r="E726" s="99"/>
      <c r="F726" s="78"/>
      <c r="G726" s="80"/>
      <c r="H726" s="4"/>
      <c r="I726" s="76"/>
      <c r="J726" s="78"/>
      <c r="K726" s="78"/>
      <c r="L726" s="78"/>
      <c r="M726" s="78"/>
      <c r="N726" s="81"/>
      <c r="O726" s="78"/>
      <c r="P726" s="82"/>
      <c r="Q726" s="4"/>
      <c r="R726" s="78"/>
      <c r="S726" s="83"/>
      <c r="T726" s="4"/>
      <c r="U726" s="77"/>
    </row>
    <row r="727" spans="1:21" ht="18.75" customHeight="1" x14ac:dyDescent="0.2">
      <c r="A727" s="76"/>
      <c r="B727" s="77"/>
      <c r="C727" s="78"/>
      <c r="D727" s="79"/>
      <c r="E727" s="99"/>
      <c r="F727" s="78"/>
      <c r="G727" s="80"/>
      <c r="H727" s="4"/>
      <c r="I727" s="76"/>
      <c r="J727" s="78"/>
      <c r="K727" s="78"/>
      <c r="L727" s="78"/>
      <c r="M727" s="78"/>
      <c r="N727" s="81"/>
      <c r="O727" s="78"/>
      <c r="P727" s="82"/>
      <c r="Q727" s="4"/>
      <c r="R727" s="78"/>
      <c r="S727" s="83"/>
      <c r="T727" s="4"/>
      <c r="U727" s="77"/>
    </row>
    <row r="728" spans="1:21" ht="18.75" customHeight="1" x14ac:dyDescent="0.2">
      <c r="A728" s="76"/>
      <c r="B728" s="77"/>
      <c r="C728" s="78"/>
      <c r="D728" s="79"/>
      <c r="E728" s="99"/>
      <c r="F728" s="78"/>
      <c r="G728" s="80"/>
      <c r="H728" s="4"/>
      <c r="I728" s="76"/>
      <c r="J728" s="78"/>
      <c r="K728" s="78"/>
      <c r="L728" s="78"/>
      <c r="M728" s="78"/>
      <c r="N728" s="81"/>
      <c r="O728" s="78"/>
      <c r="P728" s="82"/>
      <c r="Q728" s="4"/>
      <c r="R728" s="78"/>
      <c r="S728" s="83"/>
      <c r="T728" s="4"/>
      <c r="U728" s="77"/>
    </row>
    <row r="729" spans="1:21" ht="18.75" customHeight="1" x14ac:dyDescent="0.2">
      <c r="A729" s="76"/>
      <c r="B729" s="77"/>
      <c r="C729" s="78"/>
      <c r="D729" s="79"/>
      <c r="E729" s="99"/>
      <c r="F729" s="78"/>
      <c r="G729" s="80"/>
      <c r="H729" s="4"/>
      <c r="I729" s="76"/>
      <c r="J729" s="78"/>
      <c r="K729" s="78"/>
      <c r="L729" s="78"/>
      <c r="M729" s="78"/>
      <c r="N729" s="81"/>
      <c r="O729" s="78"/>
      <c r="P729" s="82"/>
      <c r="Q729" s="4"/>
      <c r="R729" s="78"/>
      <c r="S729" s="83"/>
      <c r="T729" s="4"/>
      <c r="U729" s="77"/>
    </row>
    <row r="730" spans="1:21" ht="18.75" customHeight="1" x14ac:dyDescent="0.2">
      <c r="A730" s="76"/>
      <c r="B730" s="77"/>
      <c r="C730" s="78"/>
      <c r="D730" s="79"/>
      <c r="E730" s="99"/>
      <c r="F730" s="78"/>
      <c r="G730" s="80"/>
      <c r="H730" s="4"/>
      <c r="I730" s="76"/>
      <c r="J730" s="78"/>
      <c r="K730" s="78"/>
      <c r="L730" s="78"/>
      <c r="M730" s="78"/>
      <c r="N730" s="81"/>
      <c r="O730" s="78"/>
      <c r="P730" s="82"/>
      <c r="Q730" s="4"/>
      <c r="R730" s="78"/>
      <c r="S730" s="83"/>
      <c r="T730" s="4"/>
      <c r="U730" s="77"/>
    </row>
    <row r="731" spans="1:21" ht="18.75" customHeight="1" x14ac:dyDescent="0.2">
      <c r="A731" s="76"/>
      <c r="B731" s="77"/>
      <c r="C731" s="78"/>
      <c r="D731" s="79"/>
      <c r="E731" s="99"/>
      <c r="F731" s="78"/>
      <c r="G731" s="80"/>
      <c r="H731" s="4"/>
      <c r="I731" s="76"/>
      <c r="J731" s="78"/>
      <c r="K731" s="78"/>
      <c r="L731" s="78"/>
      <c r="M731" s="78"/>
      <c r="N731" s="81"/>
      <c r="O731" s="78"/>
      <c r="P731" s="82"/>
      <c r="Q731" s="4"/>
      <c r="R731" s="78"/>
      <c r="S731" s="83"/>
      <c r="T731" s="4"/>
      <c r="U731" s="77"/>
    </row>
    <row r="732" spans="1:21" ht="18.75" customHeight="1" x14ac:dyDescent="0.2">
      <c r="A732" s="76"/>
      <c r="B732" s="77"/>
      <c r="C732" s="78"/>
      <c r="D732" s="79"/>
      <c r="E732" s="99"/>
      <c r="F732" s="78"/>
      <c r="G732" s="80"/>
      <c r="H732" s="4"/>
      <c r="I732" s="76"/>
      <c r="J732" s="78"/>
      <c r="K732" s="78"/>
      <c r="L732" s="78"/>
      <c r="M732" s="78"/>
      <c r="N732" s="81"/>
      <c r="O732" s="78"/>
      <c r="P732" s="82"/>
      <c r="Q732" s="4"/>
      <c r="R732" s="78"/>
      <c r="S732" s="83"/>
      <c r="T732" s="4"/>
      <c r="U732" s="77"/>
    </row>
    <row r="733" spans="1:21" ht="18.75" customHeight="1" x14ac:dyDescent="0.2">
      <c r="A733" s="76"/>
      <c r="B733" s="77"/>
      <c r="C733" s="78"/>
      <c r="D733" s="79"/>
      <c r="E733" s="99"/>
      <c r="F733" s="78"/>
      <c r="G733" s="80"/>
      <c r="H733" s="4"/>
      <c r="I733" s="76"/>
      <c r="J733" s="78"/>
      <c r="K733" s="78"/>
      <c r="L733" s="78"/>
      <c r="M733" s="78"/>
      <c r="N733" s="81"/>
      <c r="O733" s="78"/>
      <c r="P733" s="82"/>
      <c r="Q733" s="4"/>
      <c r="R733" s="78"/>
      <c r="S733" s="83"/>
      <c r="T733" s="4"/>
      <c r="U733" s="77"/>
    </row>
    <row r="734" spans="1:21" ht="18.75" customHeight="1" x14ac:dyDescent="0.2">
      <c r="A734" s="76"/>
      <c r="B734" s="77"/>
      <c r="C734" s="78"/>
      <c r="D734" s="79"/>
      <c r="E734" s="99"/>
      <c r="F734" s="78"/>
      <c r="G734" s="80"/>
      <c r="H734" s="4"/>
      <c r="I734" s="76"/>
      <c r="J734" s="78"/>
      <c r="K734" s="78"/>
      <c r="L734" s="78"/>
      <c r="M734" s="78"/>
      <c r="N734" s="81"/>
      <c r="O734" s="78"/>
      <c r="P734" s="82"/>
      <c r="Q734" s="4"/>
      <c r="R734" s="78"/>
      <c r="S734" s="83"/>
      <c r="T734" s="4"/>
      <c r="U734" s="77"/>
    </row>
    <row r="735" spans="1:21" ht="18.75" customHeight="1" x14ac:dyDescent="0.2">
      <c r="A735" s="76"/>
      <c r="B735" s="77"/>
      <c r="C735" s="78"/>
      <c r="D735" s="79"/>
      <c r="E735" s="99"/>
      <c r="F735" s="78"/>
      <c r="G735" s="80"/>
      <c r="H735" s="4"/>
      <c r="I735" s="76"/>
      <c r="J735" s="78"/>
      <c r="K735" s="78"/>
      <c r="L735" s="78"/>
      <c r="M735" s="78"/>
      <c r="N735" s="81"/>
      <c r="O735" s="78"/>
      <c r="P735" s="82"/>
      <c r="Q735" s="4"/>
      <c r="R735" s="78"/>
      <c r="S735" s="83"/>
      <c r="T735" s="4"/>
      <c r="U735" s="77"/>
    </row>
    <row r="736" spans="1:21" ht="18.75" customHeight="1" x14ac:dyDescent="0.2">
      <c r="A736" s="76"/>
      <c r="B736" s="77"/>
      <c r="C736" s="78"/>
      <c r="D736" s="79"/>
      <c r="E736" s="99"/>
      <c r="F736" s="78"/>
      <c r="G736" s="80"/>
      <c r="H736" s="4"/>
      <c r="I736" s="76"/>
      <c r="J736" s="78"/>
      <c r="K736" s="78"/>
      <c r="L736" s="78"/>
      <c r="M736" s="78"/>
      <c r="N736" s="81"/>
      <c r="O736" s="78"/>
      <c r="P736" s="82"/>
      <c r="Q736" s="4"/>
      <c r="R736" s="78"/>
      <c r="S736" s="83"/>
      <c r="T736" s="4"/>
      <c r="U736" s="77"/>
    </row>
    <row r="737" spans="1:21" ht="18.75" customHeight="1" x14ac:dyDescent="0.2">
      <c r="A737" s="76"/>
      <c r="B737" s="77"/>
      <c r="C737" s="78"/>
      <c r="D737" s="79"/>
      <c r="E737" s="99"/>
      <c r="F737" s="78"/>
      <c r="G737" s="80"/>
      <c r="H737" s="4"/>
      <c r="I737" s="76"/>
      <c r="J737" s="78"/>
      <c r="K737" s="78"/>
      <c r="L737" s="78"/>
      <c r="M737" s="78"/>
      <c r="N737" s="81"/>
      <c r="O737" s="78"/>
      <c r="P737" s="82"/>
      <c r="Q737" s="4"/>
      <c r="R737" s="78"/>
      <c r="S737" s="83"/>
      <c r="T737" s="4"/>
      <c r="U737" s="77"/>
    </row>
    <row r="738" spans="1:21" ht="18.75" customHeight="1" x14ac:dyDescent="0.2">
      <c r="A738" s="76"/>
      <c r="B738" s="77"/>
      <c r="C738" s="78"/>
      <c r="D738" s="79"/>
      <c r="E738" s="99"/>
      <c r="F738" s="78"/>
      <c r="G738" s="80"/>
      <c r="H738" s="4"/>
      <c r="I738" s="76"/>
      <c r="J738" s="78"/>
      <c r="K738" s="78"/>
      <c r="L738" s="78"/>
      <c r="M738" s="78"/>
      <c r="N738" s="81"/>
      <c r="O738" s="78"/>
      <c r="P738" s="82"/>
      <c r="Q738" s="4"/>
      <c r="R738" s="78"/>
      <c r="S738" s="83"/>
      <c r="T738" s="4"/>
      <c r="U738" s="77"/>
    </row>
    <row r="739" spans="1:21" ht="18.75" customHeight="1" x14ac:dyDescent="0.2">
      <c r="A739" s="76"/>
      <c r="B739" s="77"/>
      <c r="C739" s="78"/>
      <c r="D739" s="79"/>
      <c r="E739" s="99"/>
      <c r="F739" s="78"/>
      <c r="G739" s="80"/>
      <c r="H739" s="4"/>
      <c r="I739" s="76"/>
      <c r="J739" s="78"/>
      <c r="K739" s="78"/>
      <c r="L739" s="78"/>
      <c r="M739" s="78"/>
      <c r="N739" s="81"/>
      <c r="O739" s="78"/>
      <c r="P739" s="82"/>
      <c r="Q739" s="4"/>
      <c r="R739" s="78"/>
      <c r="S739" s="83"/>
      <c r="T739" s="4"/>
      <c r="U739" s="77"/>
    </row>
    <row r="740" spans="1:21" ht="18.75" customHeight="1" x14ac:dyDescent="0.2">
      <c r="A740" s="76"/>
      <c r="B740" s="77"/>
      <c r="C740" s="78"/>
      <c r="D740" s="79"/>
      <c r="E740" s="99"/>
      <c r="F740" s="78"/>
      <c r="G740" s="80"/>
      <c r="H740" s="4"/>
      <c r="I740" s="76"/>
      <c r="J740" s="78"/>
      <c r="K740" s="78"/>
      <c r="L740" s="78"/>
      <c r="M740" s="78"/>
      <c r="N740" s="81"/>
      <c r="O740" s="78"/>
      <c r="P740" s="82"/>
      <c r="Q740" s="4"/>
      <c r="R740" s="78"/>
      <c r="S740" s="83"/>
      <c r="T740" s="4"/>
      <c r="U740" s="77"/>
    </row>
    <row r="741" spans="1:21" ht="18.75" customHeight="1" x14ac:dyDescent="0.2">
      <c r="A741" s="76"/>
      <c r="B741" s="77"/>
      <c r="C741" s="78"/>
      <c r="D741" s="79"/>
      <c r="E741" s="99"/>
      <c r="F741" s="78"/>
      <c r="G741" s="80"/>
      <c r="H741" s="4"/>
      <c r="I741" s="76"/>
      <c r="J741" s="78"/>
      <c r="K741" s="78"/>
      <c r="L741" s="78"/>
      <c r="M741" s="78"/>
      <c r="N741" s="81"/>
      <c r="O741" s="78"/>
      <c r="P741" s="82"/>
      <c r="Q741" s="4"/>
      <c r="R741" s="78"/>
      <c r="S741" s="83"/>
      <c r="T741" s="4"/>
      <c r="U741" s="77"/>
    </row>
    <row r="742" spans="1:21" ht="18.75" customHeight="1" x14ac:dyDescent="0.2">
      <c r="A742" s="76"/>
      <c r="B742" s="77"/>
      <c r="C742" s="78"/>
      <c r="D742" s="79"/>
      <c r="E742" s="99"/>
      <c r="F742" s="78"/>
      <c r="G742" s="80"/>
      <c r="H742" s="4"/>
      <c r="I742" s="76"/>
      <c r="J742" s="78"/>
      <c r="K742" s="78"/>
      <c r="L742" s="78"/>
      <c r="M742" s="78"/>
      <c r="N742" s="81"/>
      <c r="O742" s="78"/>
      <c r="P742" s="82"/>
      <c r="Q742" s="4"/>
      <c r="R742" s="78"/>
      <c r="S742" s="83"/>
      <c r="T742" s="4"/>
      <c r="U742" s="77"/>
    </row>
    <row r="743" spans="1:21" ht="18.75" customHeight="1" x14ac:dyDescent="0.2">
      <c r="A743" s="76"/>
      <c r="B743" s="77"/>
      <c r="C743" s="78"/>
      <c r="D743" s="79"/>
      <c r="E743" s="99"/>
      <c r="F743" s="78"/>
      <c r="G743" s="80"/>
      <c r="H743" s="4"/>
      <c r="I743" s="76"/>
      <c r="J743" s="78"/>
      <c r="K743" s="78"/>
      <c r="L743" s="78"/>
      <c r="M743" s="78"/>
      <c r="N743" s="81"/>
      <c r="O743" s="78"/>
      <c r="P743" s="82"/>
      <c r="Q743" s="4"/>
      <c r="R743" s="78"/>
      <c r="S743" s="83"/>
      <c r="T743" s="4"/>
      <c r="U743" s="77"/>
    </row>
    <row r="744" spans="1:21" ht="18.75" customHeight="1" x14ac:dyDescent="0.2">
      <c r="A744" s="76"/>
      <c r="B744" s="77"/>
      <c r="C744" s="78"/>
      <c r="D744" s="79"/>
      <c r="E744" s="99"/>
      <c r="F744" s="78"/>
      <c r="G744" s="80"/>
      <c r="H744" s="4"/>
      <c r="I744" s="76"/>
      <c r="J744" s="78"/>
      <c r="K744" s="78"/>
      <c r="L744" s="78"/>
      <c r="M744" s="78"/>
      <c r="N744" s="81"/>
      <c r="O744" s="78"/>
      <c r="P744" s="82"/>
      <c r="Q744" s="4"/>
      <c r="R744" s="78"/>
      <c r="S744" s="83"/>
      <c r="T744" s="4"/>
      <c r="U744" s="77"/>
    </row>
    <row r="745" spans="1:21" ht="18.75" customHeight="1" x14ac:dyDescent="0.2">
      <c r="A745" s="76"/>
      <c r="B745" s="77"/>
      <c r="C745" s="78"/>
      <c r="D745" s="79"/>
      <c r="E745" s="99"/>
      <c r="F745" s="78"/>
      <c r="G745" s="80"/>
      <c r="H745" s="4"/>
      <c r="I745" s="76"/>
      <c r="J745" s="78"/>
      <c r="K745" s="78"/>
      <c r="L745" s="78"/>
      <c r="M745" s="78"/>
      <c r="N745" s="81"/>
      <c r="O745" s="78"/>
      <c r="P745" s="82"/>
      <c r="Q745" s="4"/>
      <c r="R745" s="78"/>
      <c r="S745" s="83"/>
      <c r="T745" s="4"/>
      <c r="U745" s="77"/>
    </row>
    <row r="746" spans="1:21" ht="18.75" customHeight="1" x14ac:dyDescent="0.2">
      <c r="A746" s="76"/>
      <c r="B746" s="77"/>
      <c r="C746" s="78"/>
      <c r="D746" s="79"/>
      <c r="E746" s="99"/>
      <c r="F746" s="78"/>
      <c r="G746" s="80"/>
      <c r="H746" s="4"/>
      <c r="I746" s="76"/>
      <c r="J746" s="78"/>
      <c r="K746" s="78"/>
      <c r="L746" s="78"/>
      <c r="M746" s="78"/>
      <c r="N746" s="81"/>
      <c r="O746" s="78"/>
      <c r="P746" s="82"/>
      <c r="Q746" s="4"/>
      <c r="R746" s="78"/>
      <c r="S746" s="83"/>
      <c r="T746" s="4"/>
      <c r="U746" s="77"/>
    </row>
    <row r="747" spans="1:21" ht="18.75" customHeight="1" x14ac:dyDescent="0.2">
      <c r="A747" s="76"/>
      <c r="B747" s="77"/>
      <c r="C747" s="78"/>
      <c r="D747" s="79"/>
      <c r="E747" s="99"/>
      <c r="F747" s="78"/>
      <c r="G747" s="80"/>
      <c r="H747" s="4"/>
      <c r="I747" s="76"/>
      <c r="J747" s="78"/>
      <c r="K747" s="78"/>
      <c r="L747" s="78"/>
      <c r="M747" s="78"/>
      <c r="N747" s="81"/>
      <c r="O747" s="78"/>
      <c r="P747" s="82"/>
      <c r="Q747" s="4"/>
      <c r="R747" s="78"/>
      <c r="S747" s="83"/>
      <c r="T747" s="4"/>
      <c r="U747" s="77"/>
    </row>
    <row r="748" spans="1:21" ht="18.75" customHeight="1" x14ac:dyDescent="0.2">
      <c r="A748" s="76"/>
      <c r="B748" s="77"/>
      <c r="C748" s="78"/>
      <c r="D748" s="79"/>
      <c r="E748" s="99"/>
      <c r="F748" s="78"/>
      <c r="G748" s="80"/>
      <c r="H748" s="4"/>
      <c r="I748" s="76"/>
      <c r="J748" s="78"/>
      <c r="K748" s="78"/>
      <c r="L748" s="78"/>
      <c r="M748" s="78"/>
      <c r="N748" s="81"/>
      <c r="O748" s="78"/>
      <c r="P748" s="82"/>
      <c r="Q748" s="4"/>
      <c r="R748" s="78"/>
      <c r="S748" s="83"/>
      <c r="T748" s="4"/>
      <c r="U748" s="77"/>
    </row>
    <row r="749" spans="1:21" ht="18.75" customHeight="1" x14ac:dyDescent="0.2">
      <c r="A749" s="76"/>
      <c r="B749" s="77"/>
      <c r="C749" s="78"/>
      <c r="D749" s="79"/>
      <c r="E749" s="99"/>
      <c r="F749" s="78"/>
      <c r="G749" s="80"/>
      <c r="H749" s="4"/>
      <c r="I749" s="76"/>
      <c r="J749" s="78"/>
      <c r="K749" s="78"/>
      <c r="L749" s="78"/>
      <c r="M749" s="78"/>
      <c r="N749" s="81"/>
      <c r="O749" s="78"/>
      <c r="P749" s="82"/>
      <c r="Q749" s="4"/>
      <c r="R749" s="78"/>
      <c r="S749" s="83"/>
      <c r="T749" s="4"/>
      <c r="U749" s="77"/>
    </row>
    <row r="750" spans="1:21" ht="18.75" customHeight="1" x14ac:dyDescent="0.2">
      <c r="A750" s="76"/>
      <c r="B750" s="77"/>
      <c r="C750" s="78"/>
      <c r="D750" s="79"/>
      <c r="E750" s="99"/>
      <c r="F750" s="78"/>
      <c r="G750" s="80"/>
      <c r="H750" s="4"/>
      <c r="I750" s="76"/>
      <c r="J750" s="78"/>
      <c r="K750" s="78"/>
      <c r="L750" s="78"/>
      <c r="M750" s="78"/>
      <c r="N750" s="81"/>
      <c r="O750" s="78"/>
      <c r="P750" s="82"/>
      <c r="Q750" s="4"/>
      <c r="R750" s="78"/>
      <c r="S750" s="83"/>
      <c r="T750" s="4"/>
      <c r="U750" s="77"/>
    </row>
    <row r="751" spans="1:21" ht="18.75" customHeight="1" x14ac:dyDescent="0.2">
      <c r="A751" s="76"/>
      <c r="B751" s="77"/>
      <c r="C751" s="78"/>
      <c r="D751" s="79"/>
      <c r="E751" s="99"/>
      <c r="F751" s="78"/>
      <c r="G751" s="80"/>
      <c r="H751" s="4"/>
      <c r="I751" s="76"/>
      <c r="J751" s="78"/>
      <c r="K751" s="78"/>
      <c r="L751" s="78"/>
      <c r="M751" s="78"/>
      <c r="N751" s="81"/>
      <c r="O751" s="78"/>
      <c r="P751" s="82"/>
      <c r="Q751" s="4"/>
      <c r="R751" s="78"/>
      <c r="S751" s="83"/>
      <c r="T751" s="4"/>
      <c r="U751" s="77"/>
    </row>
    <row r="752" spans="1:21" ht="18.75" customHeight="1" x14ac:dyDescent="0.2">
      <c r="A752" s="76"/>
      <c r="B752" s="77"/>
      <c r="C752" s="78"/>
      <c r="D752" s="79"/>
      <c r="E752" s="99"/>
      <c r="F752" s="78"/>
      <c r="G752" s="80"/>
      <c r="H752" s="4"/>
      <c r="I752" s="76"/>
      <c r="J752" s="78"/>
      <c r="K752" s="78"/>
      <c r="L752" s="78"/>
      <c r="M752" s="78"/>
      <c r="N752" s="81"/>
      <c r="O752" s="78"/>
      <c r="P752" s="82"/>
      <c r="Q752" s="4"/>
      <c r="R752" s="78"/>
      <c r="S752" s="83"/>
      <c r="T752" s="4"/>
      <c r="U752" s="77"/>
    </row>
    <row r="753" spans="1:21" ht="18.75" customHeight="1" x14ac:dyDescent="0.2">
      <c r="A753" s="76"/>
      <c r="B753" s="77"/>
      <c r="C753" s="78"/>
      <c r="D753" s="79"/>
      <c r="E753" s="99"/>
      <c r="F753" s="78"/>
      <c r="G753" s="80"/>
      <c r="H753" s="4"/>
      <c r="I753" s="76"/>
      <c r="J753" s="78"/>
      <c r="K753" s="78"/>
      <c r="L753" s="78"/>
      <c r="M753" s="78"/>
      <c r="N753" s="81"/>
      <c r="O753" s="78"/>
      <c r="P753" s="82"/>
      <c r="Q753" s="4"/>
      <c r="R753" s="78"/>
      <c r="S753" s="83"/>
      <c r="T753" s="4"/>
      <c r="U753" s="77"/>
    </row>
    <row r="754" spans="1:21" ht="18.75" customHeight="1" x14ac:dyDescent="0.2">
      <c r="A754" s="76"/>
      <c r="B754" s="77"/>
      <c r="C754" s="78"/>
      <c r="D754" s="79"/>
      <c r="E754" s="99"/>
      <c r="F754" s="78"/>
      <c r="G754" s="80"/>
      <c r="H754" s="4"/>
      <c r="I754" s="76"/>
      <c r="J754" s="78"/>
      <c r="K754" s="78"/>
      <c r="L754" s="78"/>
      <c r="M754" s="78"/>
      <c r="N754" s="81"/>
      <c r="O754" s="78"/>
      <c r="P754" s="82"/>
      <c r="Q754" s="4"/>
      <c r="R754" s="78"/>
      <c r="S754" s="83"/>
      <c r="T754" s="4"/>
      <c r="U754" s="77"/>
    </row>
    <row r="755" spans="1:21" ht="18.75" customHeight="1" x14ac:dyDescent="0.2">
      <c r="A755" s="76"/>
      <c r="B755" s="77"/>
      <c r="C755" s="78"/>
      <c r="D755" s="79"/>
      <c r="E755" s="99"/>
      <c r="F755" s="78"/>
      <c r="G755" s="80"/>
      <c r="H755" s="4"/>
      <c r="I755" s="76"/>
      <c r="J755" s="78"/>
      <c r="K755" s="78"/>
      <c r="L755" s="78"/>
      <c r="M755" s="78"/>
      <c r="N755" s="81"/>
      <c r="O755" s="78"/>
      <c r="P755" s="82"/>
      <c r="Q755" s="4"/>
      <c r="R755" s="78"/>
      <c r="S755" s="83"/>
      <c r="T755" s="4"/>
      <c r="U755" s="77"/>
    </row>
    <row r="756" spans="1:21" ht="18.75" customHeight="1" x14ac:dyDescent="0.2">
      <c r="A756" s="76"/>
      <c r="B756" s="77"/>
      <c r="C756" s="78"/>
      <c r="D756" s="79"/>
      <c r="E756" s="99"/>
      <c r="F756" s="78"/>
      <c r="G756" s="80"/>
      <c r="H756" s="4"/>
      <c r="I756" s="76"/>
      <c r="J756" s="78"/>
      <c r="K756" s="78"/>
      <c r="L756" s="78"/>
      <c r="M756" s="78"/>
      <c r="N756" s="81"/>
      <c r="O756" s="78"/>
      <c r="P756" s="82"/>
      <c r="Q756" s="4"/>
      <c r="R756" s="78"/>
      <c r="S756" s="83"/>
      <c r="T756" s="4"/>
      <c r="U756" s="77"/>
    </row>
    <row r="757" spans="1:21" ht="18.75" customHeight="1" x14ac:dyDescent="0.2">
      <c r="A757" s="76"/>
      <c r="B757" s="77"/>
      <c r="C757" s="78"/>
      <c r="D757" s="79"/>
      <c r="E757" s="99"/>
      <c r="F757" s="78"/>
      <c r="G757" s="80"/>
      <c r="H757" s="4"/>
      <c r="I757" s="76"/>
      <c r="J757" s="78"/>
      <c r="K757" s="78"/>
      <c r="L757" s="78"/>
      <c r="M757" s="78"/>
      <c r="N757" s="81"/>
      <c r="O757" s="78"/>
      <c r="P757" s="82"/>
      <c r="Q757" s="4"/>
      <c r="R757" s="78"/>
      <c r="S757" s="83"/>
      <c r="T757" s="4"/>
      <c r="U757" s="77"/>
    </row>
    <row r="758" spans="1:21" ht="18.75" customHeight="1" x14ac:dyDescent="0.2">
      <c r="A758" s="76"/>
      <c r="B758" s="77"/>
      <c r="C758" s="78"/>
      <c r="D758" s="79"/>
      <c r="E758" s="99"/>
      <c r="F758" s="78"/>
      <c r="G758" s="80"/>
      <c r="H758" s="4"/>
      <c r="I758" s="76"/>
      <c r="J758" s="78"/>
      <c r="K758" s="78"/>
      <c r="L758" s="78"/>
      <c r="M758" s="78"/>
      <c r="N758" s="81"/>
      <c r="O758" s="78"/>
      <c r="P758" s="82"/>
      <c r="Q758" s="4"/>
      <c r="R758" s="78"/>
      <c r="S758" s="83"/>
      <c r="T758" s="4"/>
      <c r="U758" s="77"/>
    </row>
    <row r="759" spans="1:21" ht="18.75" customHeight="1" x14ac:dyDescent="0.2">
      <c r="A759" s="76"/>
      <c r="B759" s="77"/>
      <c r="C759" s="78"/>
      <c r="D759" s="79"/>
      <c r="E759" s="99"/>
      <c r="F759" s="78"/>
      <c r="G759" s="80"/>
      <c r="H759" s="4"/>
      <c r="I759" s="76"/>
      <c r="J759" s="78"/>
      <c r="K759" s="78"/>
      <c r="L759" s="78"/>
      <c r="M759" s="78"/>
      <c r="N759" s="81"/>
      <c r="O759" s="78"/>
      <c r="P759" s="82"/>
      <c r="Q759" s="4"/>
      <c r="R759" s="78"/>
      <c r="S759" s="83"/>
      <c r="T759" s="4"/>
      <c r="U759" s="77"/>
    </row>
    <row r="760" spans="1:21" ht="18.75" customHeight="1" x14ac:dyDescent="0.2">
      <c r="A760" s="76"/>
      <c r="B760" s="77"/>
      <c r="C760" s="78"/>
      <c r="D760" s="79"/>
      <c r="E760" s="99"/>
      <c r="F760" s="78"/>
      <c r="G760" s="80"/>
      <c r="H760" s="4"/>
      <c r="I760" s="76"/>
      <c r="J760" s="78"/>
      <c r="K760" s="78"/>
      <c r="L760" s="78"/>
      <c r="M760" s="78"/>
      <c r="N760" s="81"/>
      <c r="O760" s="78"/>
      <c r="P760" s="82"/>
      <c r="Q760" s="4"/>
      <c r="R760" s="78"/>
      <c r="S760" s="83"/>
      <c r="T760" s="4"/>
      <c r="U760" s="77"/>
    </row>
    <row r="761" spans="1:21" ht="18.75" customHeight="1" x14ac:dyDescent="0.2">
      <c r="A761" s="76"/>
      <c r="B761" s="77"/>
      <c r="C761" s="78"/>
      <c r="D761" s="79"/>
      <c r="E761" s="99"/>
      <c r="F761" s="78"/>
      <c r="G761" s="80"/>
      <c r="H761" s="4"/>
      <c r="I761" s="76"/>
      <c r="J761" s="78"/>
      <c r="K761" s="78"/>
      <c r="L761" s="78"/>
      <c r="M761" s="78"/>
      <c r="N761" s="81"/>
      <c r="O761" s="78"/>
      <c r="P761" s="82"/>
      <c r="Q761" s="4"/>
      <c r="R761" s="78"/>
      <c r="S761" s="83"/>
      <c r="T761" s="4"/>
      <c r="U761" s="77"/>
    </row>
    <row r="762" spans="1:21" ht="18.75" customHeight="1" x14ac:dyDescent="0.2">
      <c r="A762" s="76"/>
      <c r="B762" s="77"/>
      <c r="C762" s="78"/>
      <c r="D762" s="79"/>
      <c r="E762" s="99"/>
      <c r="F762" s="78"/>
      <c r="G762" s="80"/>
      <c r="H762" s="4"/>
      <c r="I762" s="76"/>
      <c r="J762" s="78"/>
      <c r="K762" s="78"/>
      <c r="L762" s="78"/>
      <c r="M762" s="78"/>
      <c r="N762" s="81"/>
      <c r="O762" s="78"/>
      <c r="P762" s="82"/>
      <c r="Q762" s="4"/>
      <c r="R762" s="78"/>
      <c r="S762" s="83"/>
      <c r="T762" s="4"/>
      <c r="U762" s="77"/>
    </row>
    <row r="763" spans="1:21" ht="18.75" customHeight="1" x14ac:dyDescent="0.2">
      <c r="A763" s="76"/>
      <c r="B763" s="77"/>
      <c r="C763" s="78"/>
      <c r="D763" s="79"/>
      <c r="E763" s="99"/>
      <c r="F763" s="78"/>
      <c r="G763" s="80"/>
      <c r="H763" s="4"/>
      <c r="I763" s="76"/>
      <c r="J763" s="78"/>
      <c r="K763" s="78"/>
      <c r="L763" s="78"/>
      <c r="M763" s="78"/>
      <c r="N763" s="81"/>
      <c r="O763" s="78"/>
      <c r="P763" s="82"/>
      <c r="Q763" s="4"/>
      <c r="R763" s="78"/>
      <c r="S763" s="83"/>
      <c r="T763" s="4"/>
      <c r="U763" s="77"/>
    </row>
    <row r="764" spans="1:21" ht="18.75" customHeight="1" x14ac:dyDescent="0.2">
      <c r="A764" s="76"/>
      <c r="B764" s="77"/>
      <c r="C764" s="78"/>
      <c r="D764" s="79"/>
      <c r="E764" s="99"/>
      <c r="F764" s="78"/>
      <c r="G764" s="80"/>
      <c r="H764" s="4"/>
      <c r="I764" s="76"/>
      <c r="J764" s="78"/>
      <c r="K764" s="78"/>
      <c r="L764" s="78"/>
      <c r="M764" s="78"/>
      <c r="N764" s="81"/>
      <c r="O764" s="78"/>
      <c r="P764" s="82"/>
      <c r="Q764" s="4"/>
      <c r="R764" s="78"/>
      <c r="S764" s="83"/>
      <c r="T764" s="4"/>
      <c r="U764" s="77"/>
    </row>
    <row r="765" spans="1:21" ht="18.75" customHeight="1" x14ac:dyDescent="0.2">
      <c r="A765" s="76"/>
      <c r="B765" s="77"/>
      <c r="C765" s="78"/>
      <c r="D765" s="79"/>
      <c r="E765" s="99"/>
      <c r="F765" s="78"/>
      <c r="G765" s="80"/>
      <c r="H765" s="4"/>
      <c r="I765" s="76"/>
      <c r="J765" s="78"/>
      <c r="K765" s="78"/>
      <c r="L765" s="78"/>
      <c r="M765" s="78"/>
      <c r="N765" s="81"/>
      <c r="O765" s="78"/>
      <c r="P765" s="82"/>
      <c r="Q765" s="4"/>
      <c r="R765" s="78"/>
      <c r="S765" s="83"/>
      <c r="T765" s="4"/>
      <c r="U765" s="77"/>
    </row>
    <row r="766" spans="1:21" ht="18.75" customHeight="1" x14ac:dyDescent="0.2">
      <c r="A766" s="76"/>
      <c r="B766" s="77"/>
      <c r="C766" s="78"/>
      <c r="D766" s="79"/>
      <c r="E766" s="99"/>
      <c r="F766" s="78"/>
      <c r="G766" s="80"/>
      <c r="H766" s="4"/>
      <c r="I766" s="76"/>
      <c r="J766" s="78"/>
      <c r="K766" s="78"/>
      <c r="L766" s="78"/>
      <c r="M766" s="78"/>
      <c r="N766" s="81"/>
      <c r="O766" s="78"/>
      <c r="P766" s="82"/>
      <c r="Q766" s="4"/>
      <c r="R766" s="78"/>
      <c r="S766" s="83"/>
      <c r="T766" s="4"/>
      <c r="U766" s="77"/>
    </row>
    <row r="767" spans="1:21" ht="18.75" customHeight="1" x14ac:dyDescent="0.2">
      <c r="A767" s="76"/>
      <c r="B767" s="77"/>
      <c r="C767" s="78"/>
      <c r="D767" s="79"/>
      <c r="E767" s="99"/>
      <c r="F767" s="78"/>
      <c r="G767" s="80"/>
      <c r="H767" s="4"/>
      <c r="I767" s="76"/>
      <c r="J767" s="78"/>
      <c r="K767" s="78"/>
      <c r="L767" s="78"/>
      <c r="M767" s="78"/>
      <c r="N767" s="81"/>
      <c r="O767" s="78"/>
      <c r="P767" s="82"/>
      <c r="Q767" s="4"/>
      <c r="R767" s="78"/>
      <c r="S767" s="83"/>
      <c r="T767" s="4"/>
      <c r="U767" s="77"/>
    </row>
    <row r="768" spans="1:21" ht="18.75" customHeight="1" x14ac:dyDescent="0.2">
      <c r="A768" s="76"/>
      <c r="B768" s="77"/>
      <c r="C768" s="78"/>
      <c r="D768" s="79"/>
      <c r="E768" s="99"/>
      <c r="F768" s="78"/>
      <c r="G768" s="80"/>
      <c r="H768" s="4"/>
      <c r="I768" s="76"/>
      <c r="J768" s="78"/>
      <c r="K768" s="78"/>
      <c r="L768" s="78"/>
      <c r="M768" s="78"/>
      <c r="N768" s="81"/>
      <c r="O768" s="78"/>
      <c r="P768" s="82"/>
      <c r="Q768" s="4"/>
      <c r="R768" s="78"/>
      <c r="S768" s="83"/>
      <c r="T768" s="4"/>
      <c r="U768" s="77"/>
    </row>
    <row r="769" spans="1:21" ht="18.75" customHeight="1" x14ac:dyDescent="0.2">
      <c r="A769" s="76"/>
      <c r="B769" s="77"/>
      <c r="C769" s="78"/>
      <c r="D769" s="79"/>
      <c r="E769" s="99"/>
      <c r="F769" s="78"/>
      <c r="G769" s="80"/>
      <c r="H769" s="4"/>
      <c r="I769" s="76"/>
      <c r="J769" s="78"/>
      <c r="K769" s="78"/>
      <c r="L769" s="78"/>
      <c r="M769" s="78"/>
      <c r="N769" s="81"/>
      <c r="O769" s="78"/>
      <c r="P769" s="82"/>
      <c r="Q769" s="4"/>
      <c r="R769" s="78"/>
      <c r="S769" s="83"/>
      <c r="T769" s="4"/>
      <c r="U769" s="77"/>
    </row>
    <row r="770" spans="1:21" ht="18.75" customHeight="1" x14ac:dyDescent="0.2">
      <c r="A770" s="76"/>
      <c r="B770" s="77"/>
      <c r="C770" s="78"/>
      <c r="D770" s="79"/>
      <c r="E770" s="99"/>
      <c r="F770" s="78"/>
      <c r="G770" s="80"/>
      <c r="H770" s="4"/>
      <c r="I770" s="76"/>
      <c r="J770" s="78"/>
      <c r="K770" s="78"/>
      <c r="L770" s="78"/>
      <c r="M770" s="78"/>
      <c r="N770" s="81"/>
      <c r="O770" s="78"/>
      <c r="P770" s="82"/>
      <c r="Q770" s="4"/>
      <c r="R770" s="78"/>
      <c r="S770" s="83"/>
      <c r="T770" s="4"/>
      <c r="U770" s="77"/>
    </row>
    <row r="771" spans="1:21" ht="18.75" customHeight="1" x14ac:dyDescent="0.2">
      <c r="A771" s="76"/>
      <c r="B771" s="77"/>
      <c r="C771" s="78"/>
      <c r="D771" s="79"/>
      <c r="E771" s="99"/>
      <c r="F771" s="78"/>
      <c r="G771" s="80"/>
      <c r="H771" s="4"/>
      <c r="I771" s="76"/>
      <c r="J771" s="78"/>
      <c r="K771" s="78"/>
      <c r="L771" s="78"/>
      <c r="M771" s="78"/>
      <c r="N771" s="81"/>
      <c r="O771" s="78"/>
      <c r="P771" s="82"/>
      <c r="Q771" s="4"/>
      <c r="R771" s="78"/>
      <c r="S771" s="83"/>
      <c r="T771" s="4"/>
      <c r="U771" s="77"/>
    </row>
    <row r="772" spans="1:21" ht="18.75" customHeight="1" x14ac:dyDescent="0.2">
      <c r="A772" s="76"/>
      <c r="B772" s="77"/>
      <c r="C772" s="78"/>
      <c r="D772" s="79"/>
      <c r="E772" s="99"/>
      <c r="F772" s="78"/>
      <c r="G772" s="80"/>
      <c r="H772" s="4"/>
      <c r="I772" s="76"/>
      <c r="J772" s="78"/>
      <c r="K772" s="78"/>
      <c r="L772" s="78"/>
      <c r="M772" s="78"/>
      <c r="N772" s="81"/>
      <c r="O772" s="78"/>
      <c r="P772" s="82"/>
      <c r="Q772" s="4"/>
      <c r="R772" s="78"/>
      <c r="S772" s="83"/>
      <c r="T772" s="4"/>
      <c r="U772" s="77"/>
    </row>
    <row r="773" spans="1:21" ht="18.75" customHeight="1" x14ac:dyDescent="0.2">
      <c r="A773" s="76"/>
      <c r="B773" s="77"/>
      <c r="C773" s="78"/>
      <c r="D773" s="79"/>
      <c r="E773" s="99"/>
      <c r="F773" s="78"/>
      <c r="G773" s="80"/>
      <c r="H773" s="4"/>
      <c r="I773" s="76"/>
      <c r="J773" s="78"/>
      <c r="K773" s="78"/>
      <c r="L773" s="78"/>
      <c r="M773" s="78"/>
      <c r="N773" s="81"/>
      <c r="O773" s="78"/>
      <c r="P773" s="82"/>
      <c r="Q773" s="4"/>
      <c r="R773" s="78"/>
      <c r="S773" s="83"/>
      <c r="T773" s="4"/>
      <c r="U773" s="77"/>
    </row>
    <row r="774" spans="1:21" ht="18.75" customHeight="1" x14ac:dyDescent="0.2">
      <c r="A774" s="76"/>
      <c r="B774" s="77"/>
      <c r="C774" s="78"/>
      <c r="D774" s="79"/>
      <c r="E774" s="99"/>
      <c r="F774" s="78"/>
      <c r="G774" s="80"/>
      <c r="H774" s="4"/>
      <c r="I774" s="76"/>
      <c r="J774" s="78"/>
      <c r="K774" s="78"/>
      <c r="L774" s="78"/>
      <c r="M774" s="78"/>
      <c r="N774" s="81"/>
      <c r="O774" s="78"/>
      <c r="P774" s="82"/>
      <c r="Q774" s="4"/>
      <c r="R774" s="78"/>
      <c r="S774" s="83"/>
      <c r="T774" s="4"/>
      <c r="U774" s="77"/>
    </row>
    <row r="775" spans="1:21" ht="18.75" customHeight="1" x14ac:dyDescent="0.2">
      <c r="A775" s="76"/>
      <c r="B775" s="77"/>
      <c r="C775" s="78"/>
      <c r="D775" s="79"/>
      <c r="E775" s="99"/>
      <c r="F775" s="78"/>
      <c r="G775" s="80"/>
      <c r="H775" s="4"/>
      <c r="I775" s="76"/>
      <c r="J775" s="78"/>
      <c r="K775" s="78"/>
      <c r="L775" s="78"/>
      <c r="M775" s="78"/>
      <c r="N775" s="81"/>
      <c r="O775" s="78"/>
      <c r="P775" s="82"/>
      <c r="Q775" s="4"/>
      <c r="R775" s="78"/>
      <c r="S775" s="83"/>
      <c r="T775" s="4"/>
      <c r="U775" s="77"/>
    </row>
    <row r="776" spans="1:21" ht="18.75" customHeight="1" x14ac:dyDescent="0.2">
      <c r="A776" s="76"/>
      <c r="B776" s="77"/>
      <c r="C776" s="78"/>
      <c r="D776" s="79"/>
      <c r="E776" s="99"/>
      <c r="F776" s="78"/>
      <c r="G776" s="80"/>
      <c r="H776" s="4"/>
      <c r="I776" s="76"/>
      <c r="J776" s="78"/>
      <c r="K776" s="78"/>
      <c r="L776" s="78"/>
      <c r="M776" s="78"/>
      <c r="N776" s="81"/>
      <c r="O776" s="78"/>
      <c r="P776" s="82"/>
      <c r="Q776" s="4"/>
      <c r="R776" s="78"/>
      <c r="S776" s="83"/>
      <c r="T776" s="4"/>
      <c r="U776" s="77"/>
    </row>
    <row r="777" spans="1:21" ht="18.75" customHeight="1" x14ac:dyDescent="0.2">
      <c r="A777" s="76"/>
      <c r="B777" s="77"/>
      <c r="C777" s="78"/>
      <c r="D777" s="79"/>
      <c r="E777" s="99"/>
      <c r="F777" s="78"/>
      <c r="G777" s="80"/>
      <c r="H777" s="4"/>
      <c r="I777" s="76"/>
      <c r="J777" s="78"/>
      <c r="K777" s="78"/>
      <c r="L777" s="78"/>
      <c r="M777" s="78"/>
      <c r="N777" s="81"/>
      <c r="O777" s="78"/>
      <c r="P777" s="82"/>
      <c r="Q777" s="4"/>
      <c r="R777" s="78"/>
      <c r="S777" s="83"/>
      <c r="T777" s="4"/>
      <c r="U777" s="77"/>
    </row>
    <row r="778" spans="1:21" ht="18.75" customHeight="1" x14ac:dyDescent="0.2">
      <c r="A778" s="76"/>
      <c r="B778" s="77"/>
      <c r="C778" s="78"/>
      <c r="D778" s="79"/>
      <c r="E778" s="99"/>
      <c r="F778" s="78"/>
      <c r="G778" s="80"/>
      <c r="H778" s="4"/>
      <c r="I778" s="76"/>
      <c r="J778" s="78"/>
      <c r="K778" s="78"/>
      <c r="L778" s="78"/>
      <c r="M778" s="78"/>
      <c r="N778" s="81"/>
      <c r="O778" s="78"/>
      <c r="P778" s="82"/>
      <c r="Q778" s="4"/>
      <c r="R778" s="78"/>
      <c r="S778" s="83"/>
      <c r="T778" s="4"/>
      <c r="U778" s="77"/>
    </row>
    <row r="779" spans="1:21" ht="18.75" customHeight="1" x14ac:dyDescent="0.2">
      <c r="A779" s="76"/>
      <c r="B779" s="77"/>
      <c r="C779" s="78"/>
      <c r="D779" s="79"/>
      <c r="E779" s="99"/>
      <c r="F779" s="78"/>
      <c r="G779" s="80"/>
      <c r="H779" s="4"/>
      <c r="I779" s="76"/>
      <c r="J779" s="78"/>
      <c r="K779" s="78"/>
      <c r="L779" s="78"/>
      <c r="M779" s="78"/>
      <c r="N779" s="81"/>
      <c r="O779" s="78"/>
      <c r="P779" s="82"/>
      <c r="Q779" s="4"/>
      <c r="R779" s="78"/>
      <c r="S779" s="83"/>
      <c r="T779" s="4"/>
      <c r="U779" s="77"/>
    </row>
    <row r="780" spans="1:21" ht="18.75" customHeight="1" x14ac:dyDescent="0.2">
      <c r="A780" s="76"/>
      <c r="B780" s="77"/>
      <c r="C780" s="78"/>
      <c r="D780" s="79"/>
      <c r="E780" s="99"/>
      <c r="F780" s="78"/>
      <c r="G780" s="80"/>
      <c r="H780" s="4"/>
      <c r="I780" s="76"/>
      <c r="J780" s="78"/>
      <c r="K780" s="78"/>
      <c r="L780" s="78"/>
      <c r="M780" s="78"/>
      <c r="N780" s="81"/>
      <c r="O780" s="78"/>
      <c r="P780" s="82"/>
      <c r="Q780" s="4"/>
      <c r="R780" s="78"/>
      <c r="S780" s="83"/>
      <c r="T780" s="4"/>
      <c r="U780" s="77"/>
    </row>
    <row r="781" spans="1:21" ht="18.75" customHeight="1" x14ac:dyDescent="0.2">
      <c r="A781" s="76"/>
      <c r="B781" s="77"/>
      <c r="C781" s="78"/>
      <c r="D781" s="79"/>
      <c r="E781" s="99"/>
      <c r="F781" s="78"/>
      <c r="G781" s="80"/>
      <c r="H781" s="4"/>
      <c r="I781" s="76"/>
      <c r="J781" s="78"/>
      <c r="K781" s="78"/>
      <c r="L781" s="78"/>
      <c r="M781" s="78"/>
      <c r="N781" s="81"/>
      <c r="O781" s="78"/>
      <c r="P781" s="82"/>
      <c r="Q781" s="4"/>
      <c r="R781" s="78"/>
      <c r="S781" s="83"/>
      <c r="T781" s="4"/>
      <c r="U781" s="77"/>
    </row>
    <row r="782" spans="1:21" ht="18.75" customHeight="1" x14ac:dyDescent="0.2">
      <c r="A782" s="76"/>
      <c r="B782" s="77"/>
      <c r="C782" s="78"/>
      <c r="D782" s="79"/>
      <c r="E782" s="99"/>
      <c r="F782" s="78"/>
      <c r="G782" s="80"/>
      <c r="H782" s="4"/>
      <c r="I782" s="76"/>
      <c r="J782" s="78"/>
      <c r="K782" s="78"/>
      <c r="L782" s="78"/>
      <c r="M782" s="78"/>
      <c r="N782" s="81"/>
      <c r="O782" s="78"/>
      <c r="P782" s="82"/>
      <c r="Q782" s="4"/>
      <c r="R782" s="78"/>
      <c r="S782" s="83"/>
      <c r="T782" s="4"/>
      <c r="U782" s="77"/>
    </row>
    <row r="783" spans="1:21" ht="18.75" customHeight="1" x14ac:dyDescent="0.2">
      <c r="A783" s="76"/>
      <c r="B783" s="77"/>
      <c r="C783" s="78"/>
      <c r="D783" s="79"/>
      <c r="E783" s="99"/>
      <c r="F783" s="78"/>
      <c r="G783" s="80"/>
      <c r="H783" s="4"/>
      <c r="I783" s="76"/>
      <c r="J783" s="78"/>
      <c r="K783" s="78"/>
      <c r="L783" s="78"/>
      <c r="M783" s="78"/>
      <c r="N783" s="81"/>
      <c r="O783" s="78"/>
      <c r="P783" s="82"/>
      <c r="Q783" s="4"/>
      <c r="R783" s="78"/>
      <c r="S783" s="83"/>
      <c r="T783" s="4"/>
      <c r="U783" s="77"/>
    </row>
    <row r="784" spans="1:21" ht="18.75" customHeight="1" x14ac:dyDescent="0.2">
      <c r="A784" s="76"/>
      <c r="B784" s="77"/>
      <c r="C784" s="78"/>
      <c r="D784" s="79"/>
      <c r="E784" s="99"/>
      <c r="F784" s="78"/>
      <c r="G784" s="80"/>
      <c r="H784" s="4"/>
      <c r="I784" s="76"/>
      <c r="J784" s="78"/>
      <c r="K784" s="78"/>
      <c r="L784" s="78"/>
      <c r="M784" s="78"/>
      <c r="N784" s="81"/>
      <c r="O784" s="78"/>
      <c r="P784" s="82"/>
      <c r="Q784" s="4"/>
      <c r="R784" s="78"/>
      <c r="S784" s="83"/>
      <c r="T784" s="4"/>
      <c r="U784" s="77"/>
    </row>
    <row r="785" spans="1:21" ht="18.75" customHeight="1" x14ac:dyDescent="0.2">
      <c r="A785" s="76"/>
      <c r="B785" s="77"/>
      <c r="C785" s="78"/>
      <c r="D785" s="79"/>
      <c r="E785" s="99"/>
      <c r="F785" s="78"/>
      <c r="G785" s="80"/>
      <c r="H785" s="4"/>
      <c r="I785" s="76"/>
      <c r="J785" s="78"/>
      <c r="K785" s="78"/>
      <c r="L785" s="78"/>
      <c r="M785" s="78"/>
      <c r="N785" s="81"/>
      <c r="O785" s="78"/>
      <c r="P785" s="82"/>
      <c r="Q785" s="4"/>
      <c r="R785" s="78"/>
      <c r="S785" s="83"/>
      <c r="T785" s="4"/>
      <c r="U785" s="77"/>
    </row>
    <row r="786" spans="1:21" ht="18.75" customHeight="1" x14ac:dyDescent="0.2">
      <c r="A786" s="76"/>
      <c r="B786" s="77"/>
      <c r="C786" s="78"/>
      <c r="D786" s="79"/>
      <c r="E786" s="99"/>
      <c r="F786" s="78"/>
      <c r="G786" s="80"/>
      <c r="H786" s="4"/>
      <c r="I786" s="76"/>
      <c r="J786" s="78"/>
      <c r="K786" s="78"/>
      <c r="L786" s="78"/>
      <c r="M786" s="78"/>
      <c r="N786" s="81"/>
      <c r="O786" s="78"/>
      <c r="P786" s="82"/>
      <c r="Q786" s="4"/>
      <c r="R786" s="78"/>
      <c r="S786" s="83"/>
      <c r="T786" s="4"/>
      <c r="U786" s="77"/>
    </row>
    <row r="787" spans="1:21" ht="18.75" customHeight="1" x14ac:dyDescent="0.2">
      <c r="A787" s="76"/>
      <c r="B787" s="77"/>
      <c r="C787" s="78"/>
      <c r="D787" s="79"/>
      <c r="E787" s="99"/>
      <c r="F787" s="78"/>
      <c r="G787" s="80"/>
      <c r="H787" s="4"/>
      <c r="I787" s="76"/>
      <c r="J787" s="78"/>
      <c r="K787" s="78"/>
      <c r="L787" s="78"/>
      <c r="M787" s="78"/>
      <c r="N787" s="81"/>
      <c r="O787" s="78"/>
      <c r="P787" s="82"/>
      <c r="Q787" s="4"/>
      <c r="R787" s="78"/>
      <c r="S787" s="83"/>
      <c r="T787" s="4"/>
      <c r="U787" s="77"/>
    </row>
    <row r="788" spans="1:21" ht="18.75" customHeight="1" x14ac:dyDescent="0.2">
      <c r="A788" s="76"/>
      <c r="B788" s="77"/>
      <c r="C788" s="78"/>
      <c r="D788" s="79"/>
      <c r="E788" s="99"/>
      <c r="F788" s="78"/>
      <c r="G788" s="80"/>
      <c r="H788" s="4"/>
      <c r="I788" s="76"/>
      <c r="J788" s="78"/>
      <c r="K788" s="78"/>
      <c r="L788" s="78"/>
      <c r="M788" s="78"/>
      <c r="N788" s="81"/>
      <c r="O788" s="78"/>
      <c r="P788" s="82"/>
      <c r="Q788" s="4"/>
      <c r="R788" s="78"/>
      <c r="S788" s="83"/>
      <c r="T788" s="4"/>
      <c r="U788" s="77"/>
    </row>
    <row r="789" spans="1:21" ht="18.75" customHeight="1" x14ac:dyDescent="0.2">
      <c r="A789" s="76"/>
      <c r="B789" s="77"/>
      <c r="C789" s="78"/>
      <c r="D789" s="79"/>
      <c r="E789" s="99"/>
      <c r="F789" s="78"/>
      <c r="G789" s="80"/>
      <c r="H789" s="4"/>
      <c r="I789" s="76"/>
      <c r="J789" s="78"/>
      <c r="K789" s="78"/>
      <c r="L789" s="78"/>
      <c r="M789" s="78"/>
      <c r="N789" s="81"/>
      <c r="O789" s="78"/>
      <c r="P789" s="82"/>
      <c r="Q789" s="4"/>
      <c r="R789" s="78"/>
      <c r="S789" s="83"/>
      <c r="T789" s="4"/>
      <c r="U789" s="77"/>
    </row>
    <row r="790" spans="1:21" ht="18.75" customHeight="1" x14ac:dyDescent="0.2">
      <c r="A790" s="76"/>
      <c r="B790" s="77"/>
      <c r="C790" s="78"/>
      <c r="D790" s="79"/>
      <c r="E790" s="99"/>
      <c r="F790" s="78"/>
      <c r="G790" s="80"/>
      <c r="H790" s="4"/>
      <c r="I790" s="76"/>
      <c r="J790" s="78"/>
      <c r="K790" s="78"/>
      <c r="L790" s="78"/>
      <c r="M790" s="78"/>
      <c r="N790" s="81"/>
      <c r="O790" s="78"/>
      <c r="P790" s="82"/>
      <c r="Q790" s="4"/>
      <c r="R790" s="78"/>
      <c r="S790" s="83"/>
      <c r="T790" s="4"/>
      <c r="U790" s="77"/>
    </row>
    <row r="791" spans="1:21" ht="18.75" customHeight="1" x14ac:dyDescent="0.2">
      <c r="A791" s="76"/>
      <c r="B791" s="77"/>
      <c r="C791" s="78"/>
      <c r="D791" s="79"/>
      <c r="E791" s="99"/>
      <c r="F791" s="78"/>
      <c r="G791" s="80"/>
      <c r="H791" s="4"/>
      <c r="I791" s="76"/>
      <c r="J791" s="78"/>
      <c r="K791" s="78"/>
      <c r="L791" s="78"/>
      <c r="M791" s="78"/>
      <c r="N791" s="81"/>
      <c r="O791" s="78"/>
      <c r="P791" s="82"/>
      <c r="Q791" s="4"/>
      <c r="R791" s="78"/>
      <c r="S791" s="83"/>
      <c r="T791" s="4"/>
      <c r="U791" s="77"/>
    </row>
    <row r="792" spans="1:21" ht="18.75" customHeight="1" x14ac:dyDescent="0.2">
      <c r="A792" s="76"/>
      <c r="B792" s="77"/>
      <c r="C792" s="78"/>
      <c r="D792" s="79"/>
      <c r="E792" s="99"/>
      <c r="F792" s="78"/>
      <c r="G792" s="80"/>
      <c r="H792" s="4"/>
      <c r="I792" s="76"/>
      <c r="J792" s="78"/>
      <c r="K792" s="78"/>
      <c r="L792" s="78"/>
      <c r="M792" s="78"/>
      <c r="N792" s="81"/>
      <c r="O792" s="78"/>
      <c r="P792" s="82"/>
      <c r="Q792" s="4"/>
      <c r="R792" s="78"/>
      <c r="S792" s="83"/>
      <c r="T792" s="4"/>
      <c r="U792" s="77"/>
    </row>
    <row r="793" spans="1:21" ht="18.75" customHeight="1" x14ac:dyDescent="0.2">
      <c r="A793" s="76"/>
      <c r="B793" s="77"/>
      <c r="C793" s="78"/>
      <c r="D793" s="79"/>
      <c r="E793" s="99"/>
      <c r="F793" s="78"/>
      <c r="G793" s="80"/>
      <c r="H793" s="4"/>
      <c r="I793" s="76"/>
      <c r="J793" s="78"/>
      <c r="K793" s="78"/>
      <c r="L793" s="78"/>
      <c r="M793" s="78"/>
      <c r="N793" s="81"/>
      <c r="O793" s="78"/>
      <c r="P793" s="82"/>
      <c r="Q793" s="4"/>
      <c r="R793" s="78"/>
      <c r="S793" s="83"/>
      <c r="T793" s="4"/>
      <c r="U793" s="77"/>
    </row>
    <row r="794" spans="1:21" ht="18.75" customHeight="1" x14ac:dyDescent="0.2">
      <c r="A794" s="76"/>
      <c r="B794" s="77"/>
      <c r="C794" s="78"/>
      <c r="D794" s="79"/>
      <c r="E794" s="99"/>
      <c r="F794" s="78"/>
      <c r="G794" s="80"/>
      <c r="H794" s="4"/>
      <c r="I794" s="76"/>
      <c r="J794" s="78"/>
      <c r="K794" s="78"/>
      <c r="L794" s="78"/>
      <c r="M794" s="78"/>
      <c r="N794" s="81"/>
      <c r="O794" s="78"/>
      <c r="P794" s="82"/>
      <c r="Q794" s="4"/>
      <c r="R794" s="78"/>
      <c r="S794" s="83"/>
      <c r="T794" s="4"/>
      <c r="U794" s="77"/>
    </row>
    <row r="795" spans="1:21" ht="18.75" customHeight="1" x14ac:dyDescent="0.2">
      <c r="A795" s="76"/>
      <c r="B795" s="77"/>
      <c r="C795" s="78"/>
      <c r="D795" s="79"/>
      <c r="E795" s="99"/>
      <c r="F795" s="78"/>
      <c r="G795" s="80"/>
      <c r="H795" s="4"/>
      <c r="I795" s="76"/>
      <c r="J795" s="78"/>
      <c r="K795" s="78"/>
      <c r="L795" s="78"/>
      <c r="M795" s="78"/>
      <c r="N795" s="81"/>
      <c r="O795" s="78"/>
      <c r="P795" s="82"/>
      <c r="Q795" s="4"/>
      <c r="R795" s="78"/>
      <c r="S795" s="83"/>
      <c r="T795" s="4"/>
      <c r="U795" s="77"/>
    </row>
    <row r="796" spans="1:21" ht="18.75" customHeight="1" x14ac:dyDescent="0.2">
      <c r="A796" s="76"/>
      <c r="B796" s="77"/>
      <c r="C796" s="78"/>
      <c r="D796" s="79"/>
      <c r="E796" s="99"/>
      <c r="F796" s="78"/>
      <c r="G796" s="80"/>
      <c r="H796" s="4"/>
      <c r="I796" s="76"/>
      <c r="J796" s="78"/>
      <c r="K796" s="78"/>
      <c r="L796" s="78"/>
      <c r="M796" s="78"/>
      <c r="N796" s="81"/>
      <c r="O796" s="78"/>
      <c r="P796" s="82"/>
      <c r="Q796" s="4"/>
      <c r="R796" s="78"/>
      <c r="S796" s="83"/>
      <c r="T796" s="4"/>
      <c r="U796" s="77"/>
    </row>
    <row r="797" spans="1:21" ht="18.75" customHeight="1" x14ac:dyDescent="0.2">
      <c r="A797" s="76"/>
      <c r="B797" s="77"/>
      <c r="C797" s="78"/>
      <c r="D797" s="79"/>
      <c r="E797" s="99"/>
      <c r="F797" s="78"/>
      <c r="G797" s="80"/>
      <c r="H797" s="4"/>
      <c r="I797" s="76"/>
      <c r="J797" s="78"/>
      <c r="K797" s="78"/>
      <c r="L797" s="78"/>
      <c r="M797" s="78"/>
      <c r="N797" s="81"/>
      <c r="O797" s="78"/>
      <c r="P797" s="82"/>
      <c r="Q797" s="4"/>
      <c r="R797" s="78"/>
      <c r="S797" s="83"/>
      <c r="T797" s="4"/>
      <c r="U797" s="77"/>
    </row>
    <row r="798" spans="1:21" ht="18.75" customHeight="1" x14ac:dyDescent="0.2">
      <c r="A798" s="76"/>
      <c r="B798" s="77"/>
      <c r="C798" s="78"/>
      <c r="D798" s="79"/>
      <c r="E798" s="99"/>
      <c r="F798" s="78"/>
      <c r="G798" s="80"/>
      <c r="H798" s="4"/>
      <c r="I798" s="76"/>
      <c r="J798" s="78"/>
      <c r="K798" s="78"/>
      <c r="L798" s="78"/>
      <c r="M798" s="78"/>
      <c r="N798" s="81"/>
      <c r="O798" s="78"/>
      <c r="P798" s="82"/>
      <c r="Q798" s="4"/>
      <c r="R798" s="78"/>
      <c r="S798" s="83"/>
      <c r="T798" s="4"/>
      <c r="U798" s="77"/>
    </row>
    <row r="799" spans="1:21" ht="18.75" customHeight="1" x14ac:dyDescent="0.2">
      <c r="A799" s="76"/>
      <c r="B799" s="77"/>
      <c r="C799" s="78"/>
      <c r="D799" s="79"/>
      <c r="E799" s="99"/>
      <c r="F799" s="78"/>
      <c r="G799" s="80"/>
      <c r="H799" s="4"/>
      <c r="I799" s="76"/>
      <c r="J799" s="78"/>
      <c r="K799" s="78"/>
      <c r="L799" s="78"/>
      <c r="M799" s="78"/>
      <c r="N799" s="81"/>
      <c r="O799" s="78"/>
      <c r="P799" s="82"/>
      <c r="Q799" s="4"/>
      <c r="R799" s="78"/>
      <c r="S799" s="83"/>
      <c r="T799" s="4"/>
      <c r="U799" s="77"/>
    </row>
    <row r="800" spans="1:21" ht="18.75" customHeight="1" x14ac:dyDescent="0.2">
      <c r="A800" s="76"/>
      <c r="B800" s="77"/>
      <c r="C800" s="78"/>
      <c r="D800" s="79"/>
      <c r="E800" s="99"/>
      <c r="F800" s="78"/>
      <c r="G800" s="80"/>
      <c r="H800" s="4"/>
      <c r="I800" s="76"/>
      <c r="J800" s="78"/>
      <c r="K800" s="78"/>
      <c r="L800" s="78"/>
      <c r="M800" s="78"/>
      <c r="N800" s="81"/>
      <c r="O800" s="78"/>
      <c r="P800" s="82"/>
      <c r="Q800" s="4"/>
      <c r="R800" s="78"/>
      <c r="S800" s="83"/>
      <c r="T800" s="4"/>
      <c r="U800" s="77"/>
    </row>
    <row r="801" spans="1:21" ht="18.75" customHeight="1" x14ac:dyDescent="0.2">
      <c r="A801" s="76"/>
      <c r="B801" s="77"/>
      <c r="C801" s="78"/>
      <c r="D801" s="79"/>
      <c r="E801" s="99"/>
      <c r="F801" s="78"/>
      <c r="G801" s="80"/>
      <c r="H801" s="4"/>
      <c r="I801" s="76"/>
      <c r="J801" s="78"/>
      <c r="K801" s="78"/>
      <c r="L801" s="78"/>
      <c r="M801" s="78"/>
      <c r="N801" s="81"/>
      <c r="O801" s="78"/>
      <c r="P801" s="82"/>
      <c r="Q801" s="4"/>
      <c r="R801" s="78"/>
      <c r="S801" s="83"/>
      <c r="T801" s="4"/>
      <c r="U801" s="77"/>
    </row>
    <row r="802" spans="1:21" ht="18.75" customHeight="1" x14ac:dyDescent="0.2">
      <c r="A802" s="76"/>
      <c r="B802" s="77"/>
      <c r="C802" s="78"/>
      <c r="D802" s="79"/>
      <c r="E802" s="99"/>
      <c r="F802" s="78"/>
      <c r="G802" s="80"/>
      <c r="H802" s="4"/>
      <c r="I802" s="76"/>
      <c r="J802" s="78"/>
      <c r="K802" s="78"/>
      <c r="L802" s="78"/>
      <c r="M802" s="78"/>
      <c r="N802" s="81"/>
      <c r="O802" s="78"/>
      <c r="P802" s="82"/>
      <c r="Q802" s="4"/>
      <c r="R802" s="78"/>
      <c r="S802" s="83"/>
      <c r="T802" s="4"/>
      <c r="U802" s="77"/>
    </row>
    <row r="803" spans="1:21" ht="18.75" customHeight="1" x14ac:dyDescent="0.2">
      <c r="A803" s="76"/>
      <c r="B803" s="77"/>
      <c r="C803" s="78"/>
      <c r="D803" s="79"/>
      <c r="E803" s="99"/>
      <c r="F803" s="78"/>
      <c r="G803" s="80"/>
      <c r="H803" s="4"/>
      <c r="I803" s="76"/>
      <c r="J803" s="78"/>
      <c r="K803" s="78"/>
      <c r="L803" s="78"/>
      <c r="M803" s="78"/>
      <c r="N803" s="81"/>
      <c r="O803" s="78"/>
      <c r="P803" s="82"/>
      <c r="Q803" s="4"/>
      <c r="R803" s="78"/>
      <c r="S803" s="83"/>
      <c r="T803" s="4"/>
      <c r="U803" s="77"/>
    </row>
    <row r="804" spans="1:21" ht="18.75" customHeight="1" x14ac:dyDescent="0.2">
      <c r="A804" s="76"/>
      <c r="B804" s="77"/>
      <c r="C804" s="78"/>
      <c r="D804" s="79"/>
      <c r="E804" s="99"/>
      <c r="F804" s="78"/>
      <c r="G804" s="80"/>
      <c r="H804" s="4"/>
      <c r="I804" s="76"/>
      <c r="J804" s="78"/>
      <c r="K804" s="78"/>
      <c r="L804" s="78"/>
      <c r="M804" s="78"/>
      <c r="N804" s="81"/>
      <c r="O804" s="78"/>
      <c r="P804" s="82"/>
      <c r="Q804" s="4"/>
      <c r="R804" s="78"/>
      <c r="S804" s="83"/>
      <c r="T804" s="4"/>
      <c r="U804" s="77"/>
    </row>
    <row r="805" spans="1:21" ht="18.75" customHeight="1" x14ac:dyDescent="0.2">
      <c r="A805" s="76"/>
      <c r="B805" s="77"/>
      <c r="C805" s="78"/>
      <c r="D805" s="79"/>
      <c r="E805" s="99"/>
      <c r="F805" s="78"/>
      <c r="G805" s="80"/>
      <c r="H805" s="4"/>
      <c r="I805" s="76"/>
      <c r="J805" s="78"/>
      <c r="K805" s="78"/>
      <c r="L805" s="78"/>
      <c r="M805" s="78"/>
      <c r="N805" s="81"/>
      <c r="O805" s="78"/>
      <c r="P805" s="82"/>
      <c r="Q805" s="4"/>
      <c r="R805" s="78"/>
      <c r="S805" s="83"/>
      <c r="T805" s="4"/>
      <c r="U805" s="77"/>
    </row>
    <row r="806" spans="1:21" ht="18.75" customHeight="1" x14ac:dyDescent="0.2">
      <c r="A806" s="76"/>
      <c r="B806" s="77"/>
      <c r="C806" s="78"/>
      <c r="D806" s="79"/>
      <c r="E806" s="99"/>
      <c r="F806" s="78"/>
      <c r="G806" s="80"/>
      <c r="H806" s="4"/>
      <c r="I806" s="76"/>
      <c r="J806" s="78"/>
      <c r="K806" s="78"/>
      <c r="L806" s="78"/>
      <c r="M806" s="78"/>
      <c r="N806" s="81"/>
      <c r="O806" s="78"/>
      <c r="P806" s="82"/>
      <c r="Q806" s="4"/>
      <c r="R806" s="78"/>
      <c r="S806" s="83"/>
      <c r="T806" s="4"/>
      <c r="U806" s="77"/>
    </row>
    <row r="807" spans="1:21" ht="18.75" customHeight="1" x14ac:dyDescent="0.2">
      <c r="A807" s="76"/>
      <c r="B807" s="77"/>
      <c r="C807" s="78"/>
      <c r="D807" s="79"/>
      <c r="E807" s="99"/>
      <c r="F807" s="78"/>
      <c r="G807" s="80"/>
      <c r="H807" s="4"/>
      <c r="I807" s="76"/>
      <c r="J807" s="78"/>
      <c r="K807" s="78"/>
      <c r="L807" s="78"/>
      <c r="M807" s="78"/>
      <c r="N807" s="81"/>
      <c r="O807" s="78"/>
      <c r="P807" s="82"/>
      <c r="Q807" s="4"/>
      <c r="R807" s="78"/>
      <c r="S807" s="83"/>
      <c r="T807" s="4"/>
      <c r="U807" s="77"/>
    </row>
    <row r="808" spans="1:21" ht="18.75" customHeight="1" x14ac:dyDescent="0.2">
      <c r="A808" s="76"/>
      <c r="B808" s="77"/>
      <c r="C808" s="78"/>
      <c r="D808" s="79"/>
      <c r="E808" s="99"/>
      <c r="F808" s="78"/>
      <c r="G808" s="80"/>
      <c r="H808" s="4"/>
      <c r="I808" s="76"/>
      <c r="J808" s="78"/>
      <c r="K808" s="78"/>
      <c r="L808" s="78"/>
      <c r="M808" s="78"/>
      <c r="N808" s="81"/>
      <c r="O808" s="78"/>
      <c r="P808" s="82"/>
      <c r="Q808" s="4"/>
      <c r="R808" s="78"/>
      <c r="S808" s="83"/>
      <c r="T808" s="4"/>
      <c r="U808" s="77"/>
    </row>
    <row r="809" spans="1:21" ht="18.75" customHeight="1" x14ac:dyDescent="0.2">
      <c r="A809" s="76"/>
      <c r="B809" s="77"/>
      <c r="C809" s="78"/>
      <c r="D809" s="79"/>
      <c r="E809" s="99"/>
      <c r="F809" s="78"/>
      <c r="G809" s="80"/>
      <c r="H809" s="4"/>
      <c r="I809" s="76"/>
      <c r="J809" s="78"/>
      <c r="K809" s="78"/>
      <c r="L809" s="78"/>
      <c r="M809" s="78"/>
      <c r="N809" s="81"/>
      <c r="O809" s="78"/>
      <c r="P809" s="82"/>
      <c r="Q809" s="4"/>
      <c r="R809" s="78"/>
      <c r="S809" s="83"/>
      <c r="T809" s="4"/>
      <c r="U809" s="77"/>
    </row>
    <row r="810" spans="1:21" ht="18.75" customHeight="1" x14ac:dyDescent="0.2">
      <c r="A810" s="76"/>
      <c r="B810" s="77"/>
      <c r="C810" s="78"/>
      <c r="D810" s="79"/>
      <c r="E810" s="99"/>
      <c r="F810" s="78"/>
      <c r="G810" s="80"/>
      <c r="H810" s="4"/>
      <c r="I810" s="76"/>
      <c r="J810" s="78"/>
      <c r="K810" s="78"/>
      <c r="L810" s="78"/>
      <c r="M810" s="78"/>
      <c r="N810" s="81"/>
      <c r="O810" s="78"/>
      <c r="P810" s="82"/>
      <c r="Q810" s="4"/>
      <c r="R810" s="78"/>
      <c r="S810" s="83"/>
      <c r="T810" s="4"/>
      <c r="U810" s="77"/>
    </row>
    <row r="811" spans="1:21" ht="18.75" customHeight="1" x14ac:dyDescent="0.2">
      <c r="A811" s="76"/>
      <c r="B811" s="77"/>
      <c r="C811" s="78"/>
      <c r="D811" s="79"/>
      <c r="E811" s="99"/>
      <c r="F811" s="78"/>
      <c r="G811" s="80"/>
      <c r="H811" s="4"/>
      <c r="I811" s="76"/>
      <c r="J811" s="78"/>
      <c r="K811" s="78"/>
      <c r="L811" s="78"/>
      <c r="M811" s="78"/>
      <c r="N811" s="81"/>
      <c r="O811" s="78"/>
      <c r="P811" s="82"/>
      <c r="Q811" s="4"/>
      <c r="R811" s="78"/>
      <c r="S811" s="83"/>
      <c r="T811" s="4"/>
      <c r="U811" s="77"/>
    </row>
    <row r="812" spans="1:21" ht="18.75" customHeight="1" x14ac:dyDescent="0.2">
      <c r="A812" s="76"/>
      <c r="B812" s="77"/>
      <c r="C812" s="78"/>
      <c r="D812" s="79"/>
      <c r="E812" s="99"/>
      <c r="F812" s="78"/>
      <c r="G812" s="80"/>
      <c r="H812" s="4"/>
      <c r="I812" s="76"/>
      <c r="J812" s="78"/>
      <c r="K812" s="78"/>
      <c r="L812" s="78"/>
      <c r="M812" s="78"/>
      <c r="N812" s="81"/>
      <c r="O812" s="78"/>
      <c r="P812" s="82"/>
      <c r="Q812" s="4"/>
      <c r="R812" s="78"/>
      <c r="S812" s="83"/>
      <c r="T812" s="4"/>
      <c r="U812" s="77"/>
    </row>
    <row r="813" spans="1:21" ht="18.75" customHeight="1" x14ac:dyDescent="0.2">
      <c r="A813" s="76"/>
      <c r="B813" s="77"/>
      <c r="C813" s="78"/>
      <c r="D813" s="79"/>
      <c r="E813" s="99"/>
      <c r="F813" s="78"/>
      <c r="G813" s="80"/>
      <c r="H813" s="4"/>
      <c r="I813" s="76"/>
      <c r="J813" s="78"/>
      <c r="K813" s="78"/>
      <c r="L813" s="78"/>
      <c r="M813" s="78"/>
      <c r="N813" s="81"/>
      <c r="O813" s="78"/>
      <c r="P813" s="82"/>
      <c r="Q813" s="4"/>
      <c r="R813" s="78"/>
      <c r="S813" s="83"/>
      <c r="T813" s="4"/>
      <c r="U813" s="77"/>
    </row>
    <row r="814" spans="1:21" ht="18.75" customHeight="1" x14ac:dyDescent="0.2">
      <c r="A814" s="76"/>
      <c r="B814" s="77"/>
      <c r="C814" s="78"/>
      <c r="D814" s="79"/>
      <c r="E814" s="99"/>
      <c r="F814" s="78"/>
      <c r="G814" s="80"/>
      <c r="H814" s="4"/>
      <c r="I814" s="76"/>
      <c r="J814" s="78"/>
      <c r="K814" s="78"/>
      <c r="L814" s="78"/>
      <c r="M814" s="78"/>
      <c r="N814" s="81"/>
      <c r="O814" s="78"/>
      <c r="P814" s="82"/>
      <c r="Q814" s="4"/>
      <c r="R814" s="78"/>
      <c r="S814" s="83"/>
      <c r="T814" s="4"/>
      <c r="U814" s="77"/>
    </row>
    <row r="815" spans="1:21" ht="18.75" customHeight="1" x14ac:dyDescent="0.2">
      <c r="A815" s="76"/>
      <c r="B815" s="77"/>
      <c r="C815" s="78"/>
      <c r="D815" s="79"/>
      <c r="E815" s="99"/>
      <c r="F815" s="78"/>
      <c r="G815" s="80"/>
      <c r="H815" s="4"/>
      <c r="I815" s="76"/>
      <c r="J815" s="78"/>
      <c r="K815" s="78"/>
      <c r="L815" s="78"/>
      <c r="M815" s="78"/>
      <c r="N815" s="81"/>
      <c r="O815" s="78"/>
      <c r="P815" s="82"/>
      <c r="Q815" s="4"/>
      <c r="R815" s="78"/>
      <c r="S815" s="83"/>
      <c r="T815" s="4"/>
      <c r="U815" s="77"/>
    </row>
    <row r="816" spans="1:21" ht="18.75" customHeight="1" x14ac:dyDescent="0.2">
      <c r="A816" s="76"/>
      <c r="B816" s="77"/>
      <c r="C816" s="78"/>
      <c r="D816" s="79"/>
      <c r="E816" s="99"/>
      <c r="F816" s="78"/>
      <c r="G816" s="80"/>
      <c r="H816" s="4"/>
      <c r="I816" s="76"/>
      <c r="J816" s="78"/>
      <c r="K816" s="78"/>
      <c r="L816" s="78"/>
      <c r="M816" s="78"/>
      <c r="N816" s="81"/>
      <c r="O816" s="78"/>
      <c r="P816" s="82"/>
      <c r="Q816" s="4"/>
      <c r="R816" s="78"/>
      <c r="S816" s="83"/>
      <c r="T816" s="4"/>
      <c r="U816" s="77"/>
    </row>
    <row r="817" spans="1:21" ht="18.75" customHeight="1" x14ac:dyDescent="0.2">
      <c r="A817" s="76"/>
      <c r="B817" s="77"/>
      <c r="C817" s="78"/>
      <c r="D817" s="79"/>
      <c r="E817" s="99"/>
      <c r="F817" s="78"/>
      <c r="G817" s="80"/>
      <c r="H817" s="4"/>
      <c r="I817" s="76"/>
      <c r="J817" s="78"/>
      <c r="K817" s="78"/>
      <c r="L817" s="78"/>
      <c r="M817" s="78"/>
      <c r="N817" s="81"/>
      <c r="O817" s="78"/>
      <c r="P817" s="82"/>
      <c r="Q817" s="4"/>
      <c r="R817" s="78"/>
      <c r="S817" s="83"/>
      <c r="T817" s="4"/>
      <c r="U817" s="77"/>
    </row>
    <row r="818" spans="1:21" ht="18.75" customHeight="1" x14ac:dyDescent="0.2">
      <c r="A818" s="76"/>
      <c r="B818" s="77"/>
      <c r="C818" s="78"/>
      <c r="D818" s="79"/>
      <c r="E818" s="99"/>
      <c r="F818" s="78"/>
      <c r="G818" s="80"/>
      <c r="H818" s="4"/>
      <c r="I818" s="76"/>
      <c r="J818" s="78"/>
      <c r="K818" s="78"/>
      <c r="L818" s="78"/>
      <c r="M818" s="78"/>
      <c r="N818" s="81"/>
      <c r="O818" s="78"/>
      <c r="P818" s="82"/>
      <c r="Q818" s="4"/>
      <c r="R818" s="78"/>
      <c r="S818" s="83"/>
      <c r="T818" s="4"/>
      <c r="U818" s="77"/>
    </row>
    <row r="819" spans="1:21" ht="18.75" customHeight="1" x14ac:dyDescent="0.2">
      <c r="A819" s="76"/>
      <c r="B819" s="77"/>
      <c r="C819" s="78"/>
      <c r="D819" s="79"/>
      <c r="E819" s="99"/>
      <c r="F819" s="78"/>
      <c r="G819" s="80"/>
      <c r="H819" s="4"/>
      <c r="I819" s="76"/>
      <c r="J819" s="78"/>
      <c r="K819" s="78"/>
      <c r="L819" s="78"/>
      <c r="M819" s="78"/>
      <c r="N819" s="81"/>
      <c r="O819" s="78"/>
      <c r="P819" s="82"/>
      <c r="Q819" s="4"/>
      <c r="R819" s="78"/>
      <c r="S819" s="83"/>
      <c r="T819" s="4"/>
      <c r="U819" s="77"/>
    </row>
    <row r="820" spans="1:21" ht="18.75" customHeight="1" x14ac:dyDescent="0.2">
      <c r="A820" s="76"/>
      <c r="B820" s="77"/>
      <c r="C820" s="78"/>
      <c r="D820" s="79"/>
      <c r="E820" s="99"/>
      <c r="F820" s="78"/>
      <c r="G820" s="80"/>
      <c r="H820" s="4"/>
      <c r="I820" s="76"/>
      <c r="J820" s="78"/>
      <c r="K820" s="78"/>
      <c r="L820" s="78"/>
      <c r="M820" s="78"/>
      <c r="N820" s="81"/>
      <c r="O820" s="78"/>
      <c r="P820" s="82"/>
      <c r="Q820" s="4"/>
      <c r="R820" s="78"/>
      <c r="S820" s="83"/>
      <c r="T820" s="4"/>
      <c r="U820" s="77"/>
    </row>
    <row r="821" spans="1:21" ht="18.75" customHeight="1" x14ac:dyDescent="0.2">
      <c r="A821" s="76"/>
      <c r="B821" s="77"/>
      <c r="C821" s="78"/>
      <c r="D821" s="79"/>
      <c r="E821" s="99"/>
      <c r="F821" s="78"/>
      <c r="G821" s="80"/>
      <c r="H821" s="4"/>
      <c r="I821" s="76"/>
      <c r="J821" s="78"/>
      <c r="K821" s="78"/>
      <c r="L821" s="78"/>
      <c r="M821" s="78"/>
      <c r="N821" s="81"/>
      <c r="O821" s="78"/>
      <c r="P821" s="82"/>
      <c r="Q821" s="4"/>
      <c r="R821" s="78"/>
      <c r="S821" s="83"/>
      <c r="T821" s="4"/>
      <c r="U821" s="77"/>
    </row>
    <row r="822" spans="1:21" ht="18.75" customHeight="1" x14ac:dyDescent="0.2">
      <c r="A822" s="76"/>
      <c r="B822" s="77"/>
      <c r="C822" s="78"/>
      <c r="D822" s="79"/>
      <c r="E822" s="99"/>
      <c r="F822" s="78"/>
      <c r="G822" s="80"/>
      <c r="H822" s="4"/>
      <c r="I822" s="76"/>
      <c r="J822" s="78"/>
      <c r="K822" s="78"/>
      <c r="L822" s="78"/>
      <c r="M822" s="78"/>
      <c r="N822" s="81"/>
      <c r="O822" s="78"/>
      <c r="P822" s="82"/>
      <c r="Q822" s="4"/>
      <c r="R822" s="78"/>
      <c r="S822" s="83"/>
      <c r="T822" s="4"/>
      <c r="U822" s="77"/>
    </row>
    <row r="823" spans="1:21" ht="18.75" customHeight="1" x14ac:dyDescent="0.2">
      <c r="A823" s="76"/>
      <c r="B823" s="77"/>
      <c r="C823" s="78"/>
      <c r="D823" s="79"/>
      <c r="E823" s="99"/>
      <c r="F823" s="78"/>
      <c r="G823" s="80"/>
      <c r="H823" s="4"/>
      <c r="I823" s="76"/>
      <c r="J823" s="78"/>
      <c r="K823" s="78"/>
      <c r="L823" s="78"/>
      <c r="M823" s="78"/>
      <c r="N823" s="81"/>
      <c r="O823" s="78"/>
      <c r="P823" s="82"/>
      <c r="Q823" s="4"/>
      <c r="R823" s="78"/>
      <c r="S823" s="83"/>
      <c r="T823" s="4"/>
      <c r="U823" s="77"/>
    </row>
    <row r="824" spans="1:21" ht="18.75" customHeight="1" x14ac:dyDescent="0.2">
      <c r="A824" s="76"/>
      <c r="B824" s="77"/>
      <c r="C824" s="78"/>
      <c r="D824" s="79"/>
      <c r="E824" s="99"/>
      <c r="F824" s="78"/>
      <c r="G824" s="80"/>
      <c r="H824" s="4"/>
      <c r="I824" s="76"/>
      <c r="J824" s="78"/>
      <c r="K824" s="78"/>
      <c r="L824" s="78"/>
      <c r="M824" s="78"/>
      <c r="N824" s="81"/>
      <c r="O824" s="78"/>
      <c r="P824" s="82"/>
      <c r="Q824" s="4"/>
      <c r="R824" s="78"/>
      <c r="S824" s="83"/>
      <c r="T824" s="4"/>
      <c r="U824" s="77"/>
    </row>
    <row r="825" spans="1:21" ht="18.75" customHeight="1" x14ac:dyDescent="0.2">
      <c r="A825" s="76"/>
      <c r="B825" s="77"/>
      <c r="C825" s="78"/>
      <c r="D825" s="79"/>
      <c r="E825" s="99"/>
      <c r="F825" s="78"/>
      <c r="G825" s="80"/>
      <c r="H825" s="4"/>
      <c r="I825" s="76"/>
      <c r="J825" s="78"/>
      <c r="K825" s="78"/>
      <c r="L825" s="78"/>
      <c r="M825" s="78"/>
      <c r="N825" s="81"/>
      <c r="O825" s="78"/>
      <c r="P825" s="82"/>
      <c r="Q825" s="4"/>
      <c r="R825" s="78"/>
      <c r="S825" s="83"/>
      <c r="T825" s="4"/>
      <c r="U825" s="77"/>
    </row>
    <row r="826" spans="1:21" ht="18.75" customHeight="1" x14ac:dyDescent="0.2">
      <c r="A826" s="76"/>
      <c r="B826" s="77"/>
      <c r="C826" s="78"/>
      <c r="D826" s="79"/>
      <c r="E826" s="99"/>
      <c r="F826" s="78"/>
      <c r="G826" s="80"/>
      <c r="H826" s="4"/>
      <c r="I826" s="76"/>
      <c r="J826" s="78"/>
      <c r="K826" s="78"/>
      <c r="L826" s="78"/>
      <c r="M826" s="78"/>
      <c r="N826" s="81"/>
      <c r="O826" s="78"/>
      <c r="P826" s="82"/>
      <c r="Q826" s="4"/>
      <c r="R826" s="78"/>
      <c r="S826" s="83"/>
      <c r="T826" s="4"/>
      <c r="U826" s="77"/>
    </row>
    <row r="827" spans="1:21" ht="18.75" customHeight="1" x14ac:dyDescent="0.2">
      <c r="A827" s="76"/>
      <c r="B827" s="77"/>
      <c r="C827" s="78"/>
      <c r="D827" s="79"/>
      <c r="E827" s="99"/>
      <c r="F827" s="78"/>
      <c r="G827" s="80"/>
      <c r="H827" s="4"/>
      <c r="I827" s="76"/>
      <c r="J827" s="78"/>
      <c r="K827" s="78"/>
      <c r="L827" s="78"/>
      <c r="M827" s="78"/>
      <c r="N827" s="81"/>
      <c r="O827" s="78"/>
      <c r="P827" s="82"/>
      <c r="Q827" s="4"/>
      <c r="R827" s="78"/>
      <c r="S827" s="83"/>
      <c r="T827" s="4"/>
      <c r="U827" s="77"/>
    </row>
    <row r="828" spans="1:21" ht="18.75" customHeight="1" x14ac:dyDescent="0.2">
      <c r="A828" s="76"/>
      <c r="B828" s="77"/>
      <c r="C828" s="78"/>
      <c r="D828" s="79"/>
      <c r="E828" s="99"/>
      <c r="F828" s="78"/>
      <c r="G828" s="80"/>
      <c r="H828" s="4"/>
      <c r="I828" s="76"/>
      <c r="J828" s="78"/>
      <c r="K828" s="78"/>
      <c r="L828" s="78"/>
      <c r="M828" s="78"/>
      <c r="N828" s="81"/>
      <c r="O828" s="78"/>
      <c r="P828" s="82"/>
      <c r="Q828" s="4"/>
      <c r="R828" s="78"/>
      <c r="S828" s="83"/>
      <c r="T828" s="4"/>
      <c r="U828" s="77"/>
    </row>
    <row r="829" spans="1:21" ht="18.75" customHeight="1" x14ac:dyDescent="0.2">
      <c r="A829" s="76"/>
      <c r="B829" s="77"/>
      <c r="C829" s="78"/>
      <c r="D829" s="79"/>
      <c r="E829" s="99"/>
      <c r="F829" s="78"/>
      <c r="G829" s="80"/>
      <c r="H829" s="4"/>
      <c r="I829" s="76"/>
      <c r="J829" s="78"/>
      <c r="K829" s="78"/>
      <c r="L829" s="78"/>
      <c r="M829" s="78"/>
      <c r="N829" s="81"/>
      <c r="O829" s="78"/>
      <c r="P829" s="82"/>
      <c r="Q829" s="4"/>
      <c r="R829" s="78"/>
      <c r="S829" s="83"/>
      <c r="T829" s="4"/>
      <c r="U829" s="77"/>
    </row>
    <row r="830" spans="1:21" ht="18.75" customHeight="1" x14ac:dyDescent="0.2">
      <c r="A830" s="76"/>
      <c r="B830" s="77"/>
      <c r="C830" s="78"/>
      <c r="D830" s="79"/>
      <c r="E830" s="99"/>
      <c r="F830" s="78"/>
      <c r="G830" s="80"/>
      <c r="H830" s="4"/>
      <c r="I830" s="76"/>
      <c r="J830" s="78"/>
      <c r="K830" s="78"/>
      <c r="L830" s="78"/>
      <c r="M830" s="78"/>
      <c r="N830" s="81"/>
      <c r="O830" s="78"/>
      <c r="P830" s="82"/>
      <c r="Q830" s="4"/>
      <c r="R830" s="78"/>
      <c r="S830" s="83"/>
      <c r="T830" s="4"/>
      <c r="U830" s="77"/>
    </row>
    <row r="831" spans="1:21" ht="18.75" customHeight="1" x14ac:dyDescent="0.2">
      <c r="A831" s="76"/>
      <c r="B831" s="77"/>
      <c r="C831" s="78"/>
      <c r="D831" s="79"/>
      <c r="E831" s="99"/>
      <c r="F831" s="78"/>
      <c r="G831" s="80"/>
      <c r="H831" s="4"/>
      <c r="I831" s="76"/>
      <c r="J831" s="78"/>
      <c r="K831" s="78"/>
      <c r="L831" s="78"/>
      <c r="M831" s="78"/>
      <c r="N831" s="81"/>
      <c r="O831" s="78"/>
      <c r="P831" s="82"/>
      <c r="Q831" s="4"/>
      <c r="R831" s="78"/>
      <c r="S831" s="83"/>
      <c r="T831" s="4"/>
      <c r="U831" s="77"/>
    </row>
    <row r="832" spans="1:21" ht="18.75" customHeight="1" x14ac:dyDescent="0.2">
      <c r="A832" s="76"/>
      <c r="B832" s="77"/>
      <c r="C832" s="78"/>
      <c r="D832" s="79"/>
      <c r="E832" s="99"/>
      <c r="F832" s="78"/>
      <c r="G832" s="80"/>
      <c r="H832" s="4"/>
      <c r="I832" s="76"/>
      <c r="J832" s="78"/>
      <c r="K832" s="78"/>
      <c r="L832" s="78"/>
      <c r="M832" s="78"/>
      <c r="N832" s="81"/>
      <c r="O832" s="78"/>
      <c r="P832" s="82"/>
      <c r="Q832" s="4"/>
      <c r="R832" s="78"/>
      <c r="S832" s="83"/>
      <c r="T832" s="4"/>
      <c r="U832" s="77"/>
    </row>
    <row r="833" spans="1:21" ht="18.75" customHeight="1" x14ac:dyDescent="0.2">
      <c r="A833" s="76"/>
      <c r="B833" s="77"/>
      <c r="C833" s="78"/>
      <c r="D833" s="79"/>
      <c r="E833" s="99"/>
      <c r="F833" s="78"/>
      <c r="G833" s="80"/>
      <c r="H833" s="4"/>
      <c r="I833" s="76"/>
      <c r="J833" s="78"/>
      <c r="K833" s="78"/>
      <c r="L833" s="78"/>
      <c r="M833" s="78"/>
      <c r="N833" s="81"/>
      <c r="O833" s="78"/>
      <c r="P833" s="82"/>
      <c r="Q833" s="4"/>
      <c r="R833" s="78"/>
      <c r="S833" s="83"/>
      <c r="T833" s="4"/>
      <c r="U833" s="77"/>
    </row>
    <row r="834" spans="1:21" ht="18.75" customHeight="1" x14ac:dyDescent="0.2">
      <c r="A834" s="76"/>
      <c r="B834" s="77"/>
      <c r="C834" s="78"/>
      <c r="D834" s="79"/>
      <c r="E834" s="99"/>
      <c r="F834" s="78"/>
      <c r="G834" s="80"/>
      <c r="H834" s="4"/>
      <c r="I834" s="76"/>
      <c r="J834" s="78"/>
      <c r="K834" s="78"/>
      <c r="L834" s="78"/>
      <c r="M834" s="78"/>
      <c r="N834" s="81"/>
      <c r="O834" s="78"/>
      <c r="P834" s="82"/>
      <c r="Q834" s="4"/>
      <c r="R834" s="78"/>
      <c r="S834" s="83"/>
      <c r="T834" s="4"/>
      <c r="U834" s="77"/>
    </row>
    <row r="835" spans="1:21" ht="18.75" customHeight="1" x14ac:dyDescent="0.2">
      <c r="A835" s="76"/>
      <c r="B835" s="77"/>
      <c r="C835" s="78"/>
      <c r="D835" s="79"/>
      <c r="E835" s="99"/>
      <c r="F835" s="78"/>
      <c r="G835" s="80"/>
      <c r="H835" s="4"/>
      <c r="I835" s="76"/>
      <c r="J835" s="78"/>
      <c r="K835" s="78"/>
      <c r="L835" s="78"/>
      <c r="M835" s="78"/>
      <c r="N835" s="81"/>
      <c r="O835" s="78"/>
      <c r="P835" s="82"/>
      <c r="Q835" s="4"/>
      <c r="R835" s="78"/>
      <c r="S835" s="83"/>
      <c r="T835" s="4"/>
      <c r="U835" s="77"/>
    </row>
    <row r="836" spans="1:21" ht="18.75" customHeight="1" x14ac:dyDescent="0.2">
      <c r="A836" s="76"/>
      <c r="B836" s="77"/>
      <c r="C836" s="78"/>
      <c r="D836" s="79"/>
      <c r="E836" s="99"/>
      <c r="F836" s="78"/>
      <c r="G836" s="80"/>
      <c r="H836" s="4"/>
      <c r="I836" s="76"/>
      <c r="J836" s="78"/>
      <c r="K836" s="78"/>
      <c r="L836" s="78"/>
      <c r="M836" s="78"/>
      <c r="N836" s="81"/>
      <c r="O836" s="78"/>
      <c r="P836" s="82"/>
      <c r="Q836" s="4"/>
      <c r="R836" s="78"/>
      <c r="S836" s="83"/>
      <c r="T836" s="4"/>
      <c r="U836" s="77"/>
    </row>
    <row r="837" spans="1:21" ht="18.75" customHeight="1" x14ac:dyDescent="0.2">
      <c r="A837" s="76"/>
      <c r="B837" s="77"/>
      <c r="C837" s="78"/>
      <c r="D837" s="79"/>
      <c r="E837" s="99"/>
      <c r="F837" s="78"/>
      <c r="G837" s="80"/>
      <c r="H837" s="4"/>
      <c r="I837" s="76"/>
      <c r="J837" s="78"/>
      <c r="K837" s="78"/>
      <c r="L837" s="78"/>
      <c r="M837" s="78"/>
      <c r="N837" s="81"/>
      <c r="O837" s="78"/>
      <c r="P837" s="82"/>
      <c r="Q837" s="4"/>
      <c r="R837" s="78"/>
      <c r="S837" s="83"/>
      <c r="T837" s="4"/>
      <c r="U837" s="77"/>
    </row>
    <row r="838" spans="1:21" ht="18.75" customHeight="1" x14ac:dyDescent="0.2">
      <c r="A838" s="76"/>
      <c r="B838" s="77"/>
      <c r="C838" s="78"/>
      <c r="D838" s="79"/>
      <c r="E838" s="99"/>
      <c r="F838" s="78"/>
      <c r="G838" s="80"/>
      <c r="H838" s="4"/>
      <c r="I838" s="76"/>
      <c r="J838" s="78"/>
      <c r="K838" s="78"/>
      <c r="L838" s="78"/>
      <c r="M838" s="78"/>
      <c r="N838" s="81"/>
      <c r="O838" s="78"/>
      <c r="P838" s="82"/>
      <c r="Q838" s="4"/>
      <c r="R838" s="78"/>
      <c r="S838" s="83"/>
      <c r="T838" s="4"/>
      <c r="U838" s="77"/>
    </row>
    <row r="839" spans="1:21" ht="18.75" customHeight="1" x14ac:dyDescent="0.2">
      <c r="A839" s="76"/>
      <c r="B839" s="77"/>
      <c r="C839" s="78"/>
      <c r="D839" s="79"/>
      <c r="E839" s="99"/>
      <c r="F839" s="78"/>
      <c r="G839" s="80"/>
      <c r="H839" s="4"/>
      <c r="I839" s="76"/>
      <c r="J839" s="78"/>
      <c r="K839" s="78"/>
      <c r="L839" s="78"/>
      <c r="M839" s="78"/>
      <c r="N839" s="81"/>
      <c r="O839" s="78"/>
      <c r="P839" s="82"/>
      <c r="Q839" s="4"/>
      <c r="R839" s="78"/>
      <c r="S839" s="83"/>
      <c r="T839" s="4"/>
      <c r="U839" s="77"/>
    </row>
    <row r="840" spans="1:21" ht="18.75" customHeight="1" x14ac:dyDescent="0.2">
      <c r="A840" s="76"/>
      <c r="B840" s="77"/>
      <c r="C840" s="78"/>
      <c r="D840" s="79"/>
      <c r="E840" s="99"/>
      <c r="F840" s="78"/>
      <c r="G840" s="80"/>
      <c r="H840" s="4"/>
      <c r="I840" s="76"/>
      <c r="J840" s="78"/>
      <c r="K840" s="78"/>
      <c r="L840" s="78"/>
      <c r="M840" s="78"/>
      <c r="N840" s="81"/>
      <c r="O840" s="78"/>
      <c r="P840" s="82"/>
      <c r="Q840" s="4"/>
      <c r="R840" s="78"/>
      <c r="S840" s="83"/>
      <c r="T840" s="4"/>
      <c r="U840" s="77"/>
    </row>
    <row r="841" spans="1:21" ht="18.75" customHeight="1" x14ac:dyDescent="0.2">
      <c r="A841" s="76"/>
      <c r="B841" s="77"/>
      <c r="C841" s="78"/>
      <c r="D841" s="79"/>
      <c r="E841" s="99"/>
      <c r="F841" s="78"/>
      <c r="G841" s="80"/>
      <c r="H841" s="4"/>
      <c r="I841" s="76"/>
      <c r="J841" s="78"/>
      <c r="K841" s="78"/>
      <c r="L841" s="78"/>
      <c r="M841" s="78"/>
      <c r="N841" s="81"/>
      <c r="O841" s="78"/>
      <c r="P841" s="82"/>
      <c r="Q841" s="4"/>
      <c r="R841" s="78"/>
      <c r="S841" s="83"/>
      <c r="T841" s="4"/>
      <c r="U841" s="77"/>
    </row>
    <row r="842" spans="1:21" ht="18.75" customHeight="1" x14ac:dyDescent="0.2">
      <c r="A842" s="76"/>
      <c r="B842" s="77"/>
      <c r="C842" s="78"/>
      <c r="D842" s="79"/>
      <c r="E842" s="99"/>
      <c r="F842" s="78"/>
      <c r="G842" s="80"/>
      <c r="H842" s="4"/>
      <c r="I842" s="76"/>
      <c r="J842" s="78"/>
      <c r="K842" s="78"/>
      <c r="L842" s="78"/>
      <c r="M842" s="78"/>
      <c r="N842" s="81"/>
      <c r="O842" s="78"/>
      <c r="P842" s="82"/>
      <c r="Q842" s="4"/>
      <c r="R842" s="78"/>
      <c r="S842" s="83"/>
      <c r="T842" s="4"/>
      <c r="U842" s="77"/>
    </row>
    <row r="843" spans="1:21" ht="18.75" customHeight="1" x14ac:dyDescent="0.2">
      <c r="A843" s="76"/>
      <c r="B843" s="77"/>
      <c r="C843" s="78"/>
      <c r="D843" s="79"/>
      <c r="E843" s="99"/>
      <c r="F843" s="78"/>
      <c r="G843" s="80"/>
      <c r="H843" s="4"/>
      <c r="I843" s="76"/>
      <c r="J843" s="78"/>
      <c r="K843" s="78"/>
      <c r="L843" s="78"/>
      <c r="M843" s="78"/>
      <c r="N843" s="81"/>
      <c r="O843" s="78"/>
      <c r="P843" s="82"/>
      <c r="Q843" s="4"/>
      <c r="R843" s="78"/>
      <c r="S843" s="83"/>
      <c r="T843" s="4"/>
      <c r="U843" s="77"/>
    </row>
    <row r="844" spans="1:21" ht="18.75" customHeight="1" x14ac:dyDescent="0.2">
      <c r="A844" s="76"/>
      <c r="B844" s="77"/>
      <c r="C844" s="78"/>
      <c r="D844" s="79"/>
      <c r="E844" s="99"/>
      <c r="F844" s="78"/>
      <c r="G844" s="80"/>
      <c r="H844" s="4"/>
      <c r="I844" s="76"/>
      <c r="J844" s="78"/>
      <c r="K844" s="78"/>
      <c r="L844" s="78"/>
      <c r="M844" s="78"/>
      <c r="N844" s="81"/>
      <c r="O844" s="78"/>
      <c r="P844" s="82"/>
      <c r="Q844" s="4"/>
      <c r="R844" s="78"/>
      <c r="S844" s="83"/>
      <c r="T844" s="4"/>
      <c r="U844" s="77"/>
    </row>
    <row r="845" spans="1:21" ht="18.75" customHeight="1" x14ac:dyDescent="0.2">
      <c r="A845" s="76"/>
      <c r="B845" s="77"/>
      <c r="C845" s="78"/>
      <c r="D845" s="79"/>
      <c r="E845" s="99"/>
      <c r="F845" s="78"/>
      <c r="G845" s="80"/>
      <c r="H845" s="4"/>
      <c r="I845" s="76"/>
      <c r="J845" s="78"/>
      <c r="K845" s="78"/>
      <c r="L845" s="78"/>
      <c r="M845" s="78"/>
      <c r="N845" s="81"/>
      <c r="O845" s="78"/>
      <c r="P845" s="82"/>
      <c r="Q845" s="4"/>
      <c r="R845" s="78"/>
      <c r="S845" s="83"/>
      <c r="T845" s="4"/>
      <c r="U845" s="77"/>
    </row>
    <row r="846" spans="1:21" ht="18.75" customHeight="1" x14ac:dyDescent="0.2">
      <c r="A846" s="76"/>
      <c r="B846" s="77"/>
      <c r="C846" s="78"/>
      <c r="D846" s="79"/>
      <c r="E846" s="99"/>
      <c r="F846" s="78"/>
      <c r="G846" s="80"/>
      <c r="H846" s="4"/>
      <c r="I846" s="76"/>
      <c r="J846" s="78"/>
      <c r="K846" s="78"/>
      <c r="L846" s="78"/>
      <c r="M846" s="78"/>
      <c r="N846" s="81"/>
      <c r="O846" s="78"/>
      <c r="P846" s="82"/>
      <c r="Q846" s="4"/>
      <c r="R846" s="78"/>
      <c r="S846" s="83"/>
      <c r="T846" s="4"/>
      <c r="U846" s="77"/>
    </row>
    <row r="847" spans="1:21" ht="18.75" customHeight="1" x14ac:dyDescent="0.2">
      <c r="A847" s="76"/>
      <c r="B847" s="77"/>
      <c r="C847" s="78"/>
      <c r="D847" s="79"/>
      <c r="E847" s="99"/>
      <c r="F847" s="78"/>
      <c r="G847" s="80"/>
      <c r="H847" s="4"/>
      <c r="I847" s="76"/>
      <c r="J847" s="78"/>
      <c r="K847" s="78"/>
      <c r="L847" s="78"/>
      <c r="M847" s="78"/>
      <c r="N847" s="81"/>
      <c r="O847" s="78"/>
      <c r="P847" s="82"/>
      <c r="Q847" s="4"/>
      <c r="R847" s="78"/>
      <c r="S847" s="83"/>
      <c r="T847" s="4"/>
      <c r="U847" s="77"/>
    </row>
    <row r="848" spans="1:21" ht="18.75" customHeight="1" x14ac:dyDescent="0.2">
      <c r="A848" s="76"/>
      <c r="B848" s="77"/>
      <c r="C848" s="78"/>
      <c r="D848" s="79"/>
      <c r="E848" s="99"/>
      <c r="F848" s="78"/>
      <c r="G848" s="80"/>
      <c r="H848" s="4"/>
      <c r="I848" s="76"/>
      <c r="J848" s="78"/>
      <c r="K848" s="78"/>
      <c r="L848" s="78"/>
      <c r="M848" s="78"/>
      <c r="N848" s="81"/>
      <c r="O848" s="78"/>
      <c r="P848" s="82"/>
      <c r="Q848" s="4"/>
      <c r="R848" s="78"/>
      <c r="S848" s="83"/>
      <c r="T848" s="4"/>
      <c r="U848" s="77"/>
    </row>
    <row r="849" spans="1:21" ht="18.75" customHeight="1" x14ac:dyDescent="0.2">
      <c r="A849" s="76"/>
      <c r="B849" s="77"/>
      <c r="C849" s="78"/>
      <c r="D849" s="79"/>
      <c r="E849" s="99"/>
      <c r="F849" s="78"/>
      <c r="G849" s="80"/>
      <c r="H849" s="4"/>
      <c r="I849" s="76"/>
      <c r="J849" s="78"/>
      <c r="K849" s="78"/>
      <c r="L849" s="78"/>
      <c r="M849" s="78"/>
      <c r="N849" s="81"/>
      <c r="O849" s="78"/>
      <c r="P849" s="82"/>
      <c r="Q849" s="4"/>
      <c r="R849" s="78"/>
      <c r="S849" s="83"/>
      <c r="T849" s="4"/>
      <c r="U849" s="77"/>
    </row>
    <row r="850" spans="1:21" ht="18.75" customHeight="1" x14ac:dyDescent="0.2">
      <c r="A850" s="76"/>
      <c r="B850" s="77"/>
      <c r="C850" s="78"/>
      <c r="D850" s="79"/>
      <c r="E850" s="99"/>
      <c r="F850" s="78"/>
      <c r="G850" s="80"/>
      <c r="H850" s="4"/>
      <c r="I850" s="76"/>
      <c r="J850" s="78"/>
      <c r="K850" s="78"/>
      <c r="L850" s="78"/>
      <c r="M850" s="78"/>
      <c r="N850" s="81"/>
      <c r="O850" s="78"/>
      <c r="P850" s="82"/>
      <c r="Q850" s="4"/>
      <c r="R850" s="78"/>
      <c r="S850" s="83"/>
      <c r="T850" s="4"/>
      <c r="U850" s="77"/>
    </row>
    <row r="851" spans="1:21" ht="18.75" customHeight="1" x14ac:dyDescent="0.2">
      <c r="A851" s="76"/>
      <c r="B851" s="77"/>
      <c r="C851" s="78"/>
      <c r="D851" s="79"/>
      <c r="E851" s="99"/>
      <c r="F851" s="78"/>
      <c r="G851" s="80"/>
      <c r="H851" s="4"/>
      <c r="I851" s="76"/>
      <c r="J851" s="78"/>
      <c r="K851" s="78"/>
      <c r="L851" s="78"/>
      <c r="M851" s="78"/>
      <c r="N851" s="81"/>
      <c r="O851" s="78"/>
      <c r="P851" s="82"/>
      <c r="Q851" s="4"/>
      <c r="R851" s="78"/>
      <c r="S851" s="83"/>
      <c r="T851" s="4"/>
      <c r="U851" s="77"/>
    </row>
    <row r="852" spans="1:21" ht="18.75" customHeight="1" x14ac:dyDescent="0.2">
      <c r="A852" s="76"/>
      <c r="B852" s="77"/>
      <c r="C852" s="78"/>
      <c r="D852" s="79"/>
      <c r="E852" s="99"/>
      <c r="F852" s="78"/>
      <c r="G852" s="80"/>
      <c r="H852" s="4"/>
      <c r="I852" s="76"/>
      <c r="J852" s="78"/>
      <c r="K852" s="78"/>
      <c r="L852" s="78"/>
      <c r="M852" s="78"/>
      <c r="N852" s="81"/>
      <c r="O852" s="78"/>
      <c r="P852" s="82"/>
      <c r="Q852" s="4"/>
      <c r="R852" s="78"/>
      <c r="S852" s="83"/>
      <c r="T852" s="4"/>
      <c r="U852" s="77"/>
    </row>
    <row r="853" spans="1:21" ht="18.75" customHeight="1" x14ac:dyDescent="0.2">
      <c r="A853" s="76"/>
      <c r="B853" s="77"/>
      <c r="C853" s="78"/>
      <c r="D853" s="79"/>
      <c r="E853" s="99"/>
      <c r="F853" s="78"/>
      <c r="G853" s="80"/>
      <c r="H853" s="4"/>
      <c r="I853" s="76"/>
      <c r="J853" s="78"/>
      <c r="K853" s="78"/>
      <c r="L853" s="78"/>
      <c r="M853" s="78"/>
      <c r="N853" s="81"/>
      <c r="O853" s="78"/>
      <c r="P853" s="82"/>
      <c r="Q853" s="4"/>
      <c r="R853" s="78"/>
      <c r="S853" s="83"/>
      <c r="T853" s="4"/>
      <c r="U853" s="77"/>
    </row>
    <row r="854" spans="1:21" ht="18.75" customHeight="1" x14ac:dyDescent="0.2">
      <c r="A854" s="76"/>
      <c r="B854" s="77"/>
      <c r="C854" s="78"/>
      <c r="D854" s="79"/>
      <c r="E854" s="99"/>
      <c r="F854" s="78"/>
      <c r="G854" s="80"/>
      <c r="H854" s="4"/>
      <c r="I854" s="76"/>
      <c r="J854" s="78"/>
      <c r="K854" s="78"/>
      <c r="L854" s="78"/>
      <c r="M854" s="78"/>
      <c r="N854" s="81"/>
      <c r="O854" s="78"/>
      <c r="P854" s="82"/>
      <c r="Q854" s="4"/>
      <c r="R854" s="78"/>
      <c r="S854" s="83"/>
      <c r="T854" s="4"/>
      <c r="U854" s="77"/>
    </row>
    <row r="855" spans="1:21" ht="18.75" customHeight="1" x14ac:dyDescent="0.2">
      <c r="A855" s="76"/>
      <c r="B855" s="77"/>
      <c r="C855" s="78"/>
      <c r="D855" s="79"/>
      <c r="E855" s="99"/>
      <c r="F855" s="78"/>
      <c r="G855" s="80"/>
      <c r="H855" s="4"/>
      <c r="I855" s="76"/>
      <c r="J855" s="78"/>
      <c r="K855" s="78"/>
      <c r="L855" s="78"/>
      <c r="M855" s="78"/>
      <c r="N855" s="81"/>
      <c r="O855" s="78"/>
      <c r="P855" s="82"/>
      <c r="Q855" s="4"/>
      <c r="R855" s="78"/>
      <c r="S855" s="83"/>
      <c r="T855" s="4"/>
      <c r="U855" s="77"/>
    </row>
    <row r="856" spans="1:21" ht="18.75" customHeight="1" x14ac:dyDescent="0.2">
      <c r="A856" s="76"/>
      <c r="B856" s="77"/>
      <c r="C856" s="78"/>
      <c r="D856" s="79"/>
      <c r="E856" s="99"/>
      <c r="F856" s="78"/>
      <c r="G856" s="80"/>
      <c r="H856" s="4"/>
      <c r="I856" s="76"/>
      <c r="J856" s="78"/>
      <c r="K856" s="78"/>
      <c r="L856" s="78"/>
      <c r="M856" s="78"/>
      <c r="N856" s="81"/>
      <c r="O856" s="78"/>
      <c r="P856" s="82"/>
      <c r="Q856" s="4"/>
      <c r="R856" s="78"/>
      <c r="S856" s="83"/>
      <c r="T856" s="4"/>
      <c r="U856" s="77"/>
    </row>
    <row r="857" spans="1:21" ht="18.75" customHeight="1" x14ac:dyDescent="0.2">
      <c r="A857" s="76"/>
      <c r="B857" s="77"/>
      <c r="C857" s="78"/>
      <c r="D857" s="79"/>
      <c r="E857" s="99"/>
      <c r="F857" s="78"/>
      <c r="G857" s="80"/>
      <c r="H857" s="4"/>
      <c r="I857" s="76"/>
      <c r="J857" s="78"/>
      <c r="K857" s="78"/>
      <c r="L857" s="78"/>
      <c r="M857" s="78"/>
      <c r="N857" s="81"/>
      <c r="O857" s="78"/>
      <c r="P857" s="82"/>
      <c r="Q857" s="4"/>
      <c r="R857" s="78"/>
      <c r="S857" s="83"/>
      <c r="T857" s="4"/>
      <c r="U857" s="77"/>
    </row>
    <row r="858" spans="1:21" ht="18.75" customHeight="1" x14ac:dyDescent="0.2">
      <c r="A858" s="76"/>
      <c r="B858" s="77"/>
      <c r="C858" s="78"/>
      <c r="D858" s="79"/>
      <c r="E858" s="99"/>
      <c r="F858" s="78"/>
      <c r="G858" s="80"/>
      <c r="H858" s="4"/>
      <c r="I858" s="76"/>
      <c r="J858" s="78"/>
      <c r="K858" s="78"/>
      <c r="L858" s="78"/>
      <c r="M858" s="78"/>
      <c r="N858" s="81"/>
      <c r="O858" s="78"/>
      <c r="P858" s="82"/>
      <c r="Q858" s="4"/>
      <c r="R858" s="78"/>
      <c r="S858" s="83"/>
      <c r="T858" s="4"/>
      <c r="U858" s="77"/>
    </row>
    <row r="859" spans="1:21" ht="18.75" customHeight="1" x14ac:dyDescent="0.2">
      <c r="A859" s="76"/>
      <c r="B859" s="77"/>
      <c r="C859" s="78"/>
      <c r="D859" s="79"/>
      <c r="E859" s="99"/>
      <c r="F859" s="78"/>
      <c r="G859" s="80"/>
      <c r="H859" s="4"/>
      <c r="I859" s="76"/>
      <c r="J859" s="78"/>
      <c r="K859" s="78"/>
      <c r="L859" s="78"/>
      <c r="M859" s="78"/>
      <c r="N859" s="81"/>
      <c r="O859" s="78"/>
      <c r="P859" s="82"/>
      <c r="Q859" s="4"/>
      <c r="R859" s="78"/>
      <c r="S859" s="83"/>
      <c r="T859" s="4"/>
      <c r="U859" s="77"/>
    </row>
    <row r="860" spans="1:21" ht="18.75" customHeight="1" x14ac:dyDescent="0.2">
      <c r="A860" s="76"/>
      <c r="B860" s="77"/>
      <c r="C860" s="78"/>
      <c r="D860" s="79"/>
      <c r="E860" s="99"/>
      <c r="F860" s="78"/>
      <c r="G860" s="80"/>
      <c r="H860" s="4"/>
      <c r="I860" s="76"/>
      <c r="J860" s="78"/>
      <c r="K860" s="78"/>
      <c r="L860" s="78"/>
      <c r="M860" s="78"/>
      <c r="N860" s="81"/>
      <c r="O860" s="78"/>
      <c r="P860" s="82"/>
      <c r="Q860" s="4"/>
      <c r="R860" s="78"/>
      <c r="S860" s="83"/>
      <c r="T860" s="4"/>
      <c r="U860" s="77"/>
    </row>
    <row r="861" spans="1:21" ht="18.75" customHeight="1" x14ac:dyDescent="0.2">
      <c r="A861" s="76"/>
      <c r="B861" s="77"/>
      <c r="C861" s="78"/>
      <c r="D861" s="79"/>
      <c r="E861" s="99"/>
      <c r="F861" s="78"/>
      <c r="G861" s="80"/>
      <c r="H861" s="4"/>
      <c r="I861" s="76"/>
      <c r="J861" s="78"/>
      <c r="K861" s="78"/>
      <c r="L861" s="78"/>
      <c r="M861" s="78"/>
      <c r="N861" s="81"/>
      <c r="O861" s="78"/>
      <c r="P861" s="82"/>
      <c r="Q861" s="4"/>
      <c r="R861" s="78"/>
      <c r="S861" s="83"/>
      <c r="T861" s="4"/>
      <c r="U861" s="77"/>
    </row>
    <row r="862" spans="1:21" ht="18.75" customHeight="1" x14ac:dyDescent="0.2">
      <c r="A862" s="76"/>
      <c r="B862" s="77"/>
      <c r="C862" s="78"/>
      <c r="D862" s="79"/>
      <c r="E862" s="99"/>
      <c r="F862" s="78"/>
      <c r="G862" s="80"/>
      <c r="H862" s="4"/>
      <c r="I862" s="76"/>
      <c r="J862" s="78"/>
      <c r="K862" s="78"/>
      <c r="L862" s="78"/>
      <c r="M862" s="78"/>
      <c r="N862" s="81"/>
      <c r="O862" s="78"/>
      <c r="P862" s="82"/>
      <c r="Q862" s="4"/>
      <c r="R862" s="78"/>
      <c r="S862" s="83"/>
      <c r="T862" s="4"/>
      <c r="U862" s="77"/>
    </row>
    <row r="863" spans="1:21" ht="18.75" customHeight="1" x14ac:dyDescent="0.2">
      <c r="A863" s="76"/>
      <c r="B863" s="77"/>
      <c r="C863" s="78"/>
      <c r="D863" s="79"/>
      <c r="E863" s="99"/>
      <c r="F863" s="78"/>
      <c r="G863" s="80"/>
      <c r="H863" s="4"/>
      <c r="I863" s="76"/>
      <c r="J863" s="78"/>
      <c r="K863" s="78"/>
      <c r="L863" s="78"/>
      <c r="M863" s="78"/>
      <c r="N863" s="81"/>
      <c r="O863" s="78"/>
      <c r="P863" s="82"/>
      <c r="Q863" s="4"/>
      <c r="R863" s="78"/>
      <c r="S863" s="83"/>
      <c r="T863" s="4"/>
      <c r="U863" s="77"/>
    </row>
    <row r="864" spans="1:21" ht="18.75" customHeight="1" x14ac:dyDescent="0.2">
      <c r="A864" s="76"/>
      <c r="B864" s="77"/>
      <c r="C864" s="78"/>
      <c r="D864" s="79"/>
      <c r="E864" s="99"/>
      <c r="F864" s="78"/>
      <c r="G864" s="80"/>
      <c r="H864" s="4"/>
      <c r="I864" s="76"/>
      <c r="J864" s="78"/>
      <c r="K864" s="78"/>
      <c r="L864" s="78"/>
      <c r="M864" s="78"/>
      <c r="N864" s="81"/>
      <c r="O864" s="78"/>
      <c r="P864" s="82"/>
      <c r="Q864" s="4"/>
      <c r="R864" s="78"/>
      <c r="S864" s="83"/>
      <c r="T864" s="4"/>
      <c r="U864" s="77"/>
    </row>
    <row r="865" spans="1:21" ht="18.75" customHeight="1" x14ac:dyDescent="0.2">
      <c r="A865" s="76"/>
      <c r="B865" s="77"/>
      <c r="C865" s="78"/>
      <c r="D865" s="79"/>
      <c r="E865" s="99"/>
      <c r="F865" s="78"/>
      <c r="G865" s="80"/>
      <c r="H865" s="4"/>
      <c r="I865" s="76"/>
      <c r="J865" s="78"/>
      <c r="K865" s="78"/>
      <c r="L865" s="78"/>
      <c r="M865" s="78"/>
      <c r="N865" s="81"/>
      <c r="O865" s="78"/>
      <c r="P865" s="82"/>
      <c r="Q865" s="4"/>
      <c r="R865" s="78"/>
      <c r="S865" s="83"/>
      <c r="T865" s="4"/>
      <c r="U865" s="77"/>
    </row>
    <row r="866" spans="1:21" ht="18.75" customHeight="1" x14ac:dyDescent="0.2">
      <c r="A866" s="76"/>
      <c r="B866" s="77"/>
      <c r="C866" s="78"/>
      <c r="D866" s="79"/>
      <c r="E866" s="99"/>
      <c r="F866" s="78"/>
      <c r="G866" s="80"/>
      <c r="H866" s="4"/>
      <c r="I866" s="76"/>
      <c r="J866" s="78"/>
      <c r="K866" s="78"/>
      <c r="L866" s="78"/>
      <c r="M866" s="78"/>
      <c r="N866" s="81"/>
      <c r="O866" s="78"/>
      <c r="P866" s="82"/>
      <c r="Q866" s="4"/>
      <c r="R866" s="78"/>
      <c r="S866" s="83"/>
      <c r="T866" s="4"/>
      <c r="U866" s="77"/>
    </row>
    <row r="867" spans="1:21" ht="18.75" customHeight="1" x14ac:dyDescent="0.2">
      <c r="A867" s="76"/>
      <c r="B867" s="77"/>
      <c r="C867" s="78"/>
      <c r="D867" s="79"/>
      <c r="E867" s="99"/>
      <c r="F867" s="78"/>
      <c r="G867" s="80"/>
      <c r="H867" s="4"/>
      <c r="I867" s="76"/>
      <c r="J867" s="78"/>
      <c r="K867" s="78"/>
      <c r="L867" s="78"/>
      <c r="M867" s="78"/>
      <c r="N867" s="81"/>
      <c r="O867" s="78"/>
      <c r="P867" s="82"/>
      <c r="Q867" s="4"/>
      <c r="R867" s="78"/>
      <c r="S867" s="83"/>
      <c r="T867" s="4"/>
      <c r="U867" s="77"/>
    </row>
    <row r="868" spans="1:21" ht="18.75" customHeight="1" x14ac:dyDescent="0.2">
      <c r="A868" s="76"/>
      <c r="B868" s="77"/>
      <c r="C868" s="78"/>
      <c r="D868" s="79"/>
      <c r="E868" s="99"/>
      <c r="F868" s="78"/>
      <c r="G868" s="80"/>
      <c r="H868" s="4"/>
      <c r="I868" s="76"/>
      <c r="J868" s="78"/>
      <c r="K868" s="78"/>
      <c r="L868" s="78"/>
      <c r="M868" s="78"/>
      <c r="N868" s="81"/>
      <c r="O868" s="78"/>
      <c r="P868" s="82"/>
      <c r="Q868" s="4"/>
      <c r="R868" s="78"/>
      <c r="S868" s="83"/>
      <c r="T868" s="4"/>
      <c r="U868" s="77"/>
    </row>
    <row r="869" spans="1:21" ht="18.75" customHeight="1" x14ac:dyDescent="0.2">
      <c r="A869" s="76"/>
      <c r="B869" s="77"/>
      <c r="C869" s="78"/>
      <c r="D869" s="79"/>
      <c r="E869" s="99"/>
      <c r="F869" s="78"/>
      <c r="G869" s="80"/>
      <c r="H869" s="4"/>
      <c r="I869" s="76"/>
      <c r="J869" s="78"/>
      <c r="K869" s="78"/>
      <c r="L869" s="78"/>
      <c r="M869" s="78"/>
      <c r="N869" s="81"/>
      <c r="O869" s="78"/>
      <c r="P869" s="82"/>
      <c r="Q869" s="4"/>
      <c r="R869" s="78"/>
      <c r="S869" s="83"/>
      <c r="T869" s="4"/>
      <c r="U869" s="77"/>
    </row>
    <row r="870" spans="1:21" ht="18.75" customHeight="1" x14ac:dyDescent="0.2">
      <c r="A870" s="76"/>
      <c r="B870" s="77"/>
      <c r="C870" s="78"/>
      <c r="D870" s="79"/>
      <c r="E870" s="99"/>
      <c r="F870" s="78"/>
      <c r="G870" s="80"/>
      <c r="H870" s="4"/>
      <c r="I870" s="76"/>
      <c r="J870" s="78"/>
      <c r="K870" s="78"/>
      <c r="L870" s="78"/>
      <c r="M870" s="78"/>
      <c r="N870" s="81"/>
      <c r="O870" s="78"/>
      <c r="P870" s="82"/>
      <c r="Q870" s="4"/>
      <c r="R870" s="78"/>
      <c r="S870" s="83"/>
      <c r="T870" s="4"/>
      <c r="U870" s="77"/>
    </row>
  </sheetData>
  <dataConsolidate/>
  <mergeCells count="53">
    <mergeCell ref="U54:W54"/>
    <mergeCell ref="U55:W55"/>
    <mergeCell ref="U56:W56"/>
    <mergeCell ref="S50:T50"/>
    <mergeCell ref="S51:T51"/>
    <mergeCell ref="S52:T52"/>
    <mergeCell ref="S54:T54"/>
    <mergeCell ref="S55:T55"/>
    <mergeCell ref="S56:T56"/>
    <mergeCell ref="S53:T53"/>
    <mergeCell ref="U50:W50"/>
    <mergeCell ref="U51:W51"/>
    <mergeCell ref="U52:W52"/>
    <mergeCell ref="U53:W53"/>
    <mergeCell ref="A49:R49"/>
    <mergeCell ref="S49:T49"/>
    <mergeCell ref="R5:T5"/>
    <mergeCell ref="A1:U1"/>
    <mergeCell ref="A2:U2"/>
    <mergeCell ref="A3:U3"/>
    <mergeCell ref="B4:Q4"/>
    <mergeCell ref="R4:T4"/>
    <mergeCell ref="B5:N5"/>
    <mergeCell ref="U28:U41"/>
    <mergeCell ref="B43:C43"/>
    <mergeCell ref="B40:C40"/>
    <mergeCell ref="B26:C26"/>
    <mergeCell ref="R46:T46"/>
    <mergeCell ref="U45:U46"/>
    <mergeCell ref="B46:Q46"/>
    <mergeCell ref="B41:D41"/>
    <mergeCell ref="B35:C35"/>
    <mergeCell ref="B37:C37"/>
    <mergeCell ref="B38:C38"/>
    <mergeCell ref="B39:C39"/>
    <mergeCell ref="B34:C34"/>
    <mergeCell ref="R44:T44"/>
    <mergeCell ref="R27:T27"/>
    <mergeCell ref="R42:T42"/>
    <mergeCell ref="U24:U26"/>
    <mergeCell ref="U6:U7"/>
    <mergeCell ref="U10:U11"/>
    <mergeCell ref="B12:F12"/>
    <mergeCell ref="U15:U16"/>
    <mergeCell ref="B14:H14"/>
    <mergeCell ref="B9:E9"/>
    <mergeCell ref="B16:C16"/>
    <mergeCell ref="B17:H17"/>
    <mergeCell ref="R9:T9"/>
    <mergeCell ref="R12:T12"/>
    <mergeCell ref="R14:T14"/>
    <mergeCell ref="R17:T17"/>
    <mergeCell ref="R23:T23"/>
  </mergeCells>
  <phoneticPr fontId="3" type="noConversion"/>
  <pageMargins left="0.31496062992125984" right="0.11811023622047245" top="0.35433070866141736" bottom="0.15748031496062992" header="0.31496062992125984" footer="0.31496062992125984"/>
  <pageSetup paperSize="9" scale="43" orientation="portrait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ปะหน้า (FD.03)(ดล)</vt:lpstr>
      <vt:lpstr>สรุปเบิกเงินค่าวัสดุ (ดล)</vt:lpstr>
      <vt:lpstr>'ปะหน้า (FD.03)(ดล)'!Print_Area</vt:lpstr>
      <vt:lpstr>'สรุปเบิกเงินค่าวัสดุ (ดล)'!Print_Area</vt:lpstr>
      <vt:lpstr>'สรุปเบิกเงินค่าวัสดุ (ดล)'!Print_Titles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Wichaporn.kup</dc:creator>
  <cp:lastModifiedBy>Wageeporn Jamvai</cp:lastModifiedBy>
  <cp:lastPrinted>2026-02-20T02:24:00Z</cp:lastPrinted>
  <dcterms:created xsi:type="dcterms:W3CDTF">2023-06-14T08:47:17Z</dcterms:created>
  <dcterms:modified xsi:type="dcterms:W3CDTF">2026-02-20T02:32:53Z</dcterms:modified>
</cp:coreProperties>
</file>